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cd281dfc9e8ea2/Intern - Vighnesh/Intern - Vighnesh/Working Folder/1. Current projects/22by7/Sellside/"/>
    </mc:Choice>
  </mc:AlternateContent>
  <xr:revisionPtr revIDLastSave="696" documentId="14_{43196EE5-362E-48AC-A618-AAF854AC266C}" xr6:coauthVersionLast="47" xr6:coauthVersionMax="47" xr10:uidLastSave="{53146B22-B378-4123-88CB-D9ABAC58EBCC}"/>
  <bookViews>
    <workbookView xWindow="-105" yWindow="-16320" windowWidth="29040" windowHeight="16440" activeTab="3" xr2:uid="{FF98251F-C11B-4FD8-822A-16E909B61158}"/>
  </bookViews>
  <sheets>
    <sheet name="Master sheets and emailers &gt;&gt;&gt;" sheetId="8" r:id="rId1"/>
    <sheet name="PE names final" sheetId="6" r:id="rId2"/>
    <sheet name="PE porfolio names final" sheetId="3" r:id="rId3"/>
    <sheet name="Emailing schedule" sheetId="11" r:id="rId4"/>
    <sheet name="Additional &gt;&gt;&gt;" sheetId="7" r:id="rId5"/>
    <sheet name="Remaining PE companies" sheetId="5" r:id="rId6"/>
    <sheet name="PE summary analysis" sheetId="4" r:id="rId7"/>
    <sheet name="PE names" sheetId="2" r:id="rId8"/>
  </sheets>
  <definedNames>
    <definedName name="_xlnm._FilterDatabase" localSheetId="3" hidden="1">'Emailing schedule'!$A$6:$M$136</definedName>
    <definedName name="_xlnm._FilterDatabase" localSheetId="7" hidden="1">'PE names'!$A$4:$M$66</definedName>
    <definedName name="_xlnm._FilterDatabase" localSheetId="1" hidden="1">'PE names final'!$A$5:$N$75</definedName>
    <definedName name="_xlnm._FilterDatabase" localSheetId="2" hidden="1">'PE porfolio names final'!$A$7:$T$66</definedName>
    <definedName name="_xlnm._FilterDatabase" localSheetId="6" hidden="1">'PE summary analysis'!$I$3:$M$37</definedName>
    <definedName name="_xlnm._FilterDatabase" localSheetId="5" hidden="1">'Remaining PE companies'!$A$4:$F$32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3" l="1"/>
  <c r="D5" i="8"/>
  <c r="C5" i="8"/>
  <c r="B5" i="8"/>
  <c r="B4" i="8"/>
  <c r="D4" i="8"/>
  <c r="C4" i="8"/>
  <c r="G58" i="3"/>
  <c r="G57" i="3"/>
  <c r="G56" i="3"/>
  <c r="G55" i="3"/>
  <c r="G54" i="3"/>
  <c r="G53" i="3"/>
  <c r="D6" i="8" l="1"/>
  <c r="E5" i="8"/>
  <c r="F5" i="8" s="1"/>
  <c r="C6" i="8"/>
  <c r="B6" i="8"/>
  <c r="E4" i="8"/>
  <c r="F4" i="8" s="1"/>
  <c r="A4" i="3"/>
  <c r="A2" i="6"/>
  <c r="D135" i="11" s="1"/>
  <c r="E135" i="11" s="1"/>
  <c r="F135" i="11" s="1"/>
  <c r="G135" i="11" s="1"/>
  <c r="K135" i="11" s="1"/>
  <c r="E1" i="11"/>
  <c r="B136" i="11" l="1"/>
  <c r="D136" i="11"/>
  <c r="E136" i="11" s="1"/>
  <c r="C136" i="11" a="1"/>
  <c r="C136" i="11" s="1"/>
  <c r="J135" i="11"/>
  <c r="H135" i="11"/>
  <c r="L135" i="11" s="1"/>
  <c r="B135" i="11"/>
  <c r="B130" i="11"/>
  <c r="B134" i="11"/>
  <c r="B127" i="11"/>
  <c r="B131" i="11"/>
  <c r="C131" i="11" a="1"/>
  <c r="C131" i="11" s="1"/>
  <c r="D131" i="11"/>
  <c r="E131" i="11" s="1"/>
  <c r="C135" i="11" a="1"/>
  <c r="C135" i="11" s="1"/>
  <c r="C130" i="11" a="1"/>
  <c r="C130" i="11" s="1"/>
  <c r="C134" i="11" a="1"/>
  <c r="C134" i="11" s="1"/>
  <c r="D134" i="11"/>
  <c r="E134" i="11" s="1"/>
  <c r="D130" i="11"/>
  <c r="E130" i="11" s="1"/>
  <c r="C127" i="11" a="1"/>
  <c r="C127" i="11" s="1"/>
  <c r="B133" i="11"/>
  <c r="C129" i="11" a="1"/>
  <c r="C129" i="11" s="1"/>
  <c r="C133" i="11" a="1"/>
  <c r="C133" i="11" s="1"/>
  <c r="D129" i="11"/>
  <c r="E129" i="11" s="1"/>
  <c r="D127" i="11"/>
  <c r="E127" i="11" s="1"/>
  <c r="B128" i="11"/>
  <c r="B132" i="11"/>
  <c r="C132" i="11" a="1"/>
  <c r="C132" i="11" s="1"/>
  <c r="D132" i="11"/>
  <c r="E132" i="11" s="1"/>
  <c r="C128" i="11" a="1"/>
  <c r="C128" i="11" s="1"/>
  <c r="D128" i="11"/>
  <c r="E128" i="11" s="1"/>
  <c r="L128" i="11" s="1"/>
  <c r="B129" i="11"/>
  <c r="D133" i="11"/>
  <c r="E133" i="11" s="1"/>
  <c r="E6" i="8"/>
  <c r="F6" i="8" s="1"/>
  <c r="D126" i="11"/>
  <c r="E126" i="11" s="1"/>
  <c r="B124" i="11"/>
  <c r="C123" i="11" a="1"/>
  <c r="C123" i="11" s="1"/>
  <c r="C126" i="11" a="1"/>
  <c r="C126" i="11" s="1"/>
  <c r="D123" i="11"/>
  <c r="E123" i="11" s="1"/>
  <c r="B126" i="11"/>
  <c r="D125" i="11"/>
  <c r="E125" i="11" s="1"/>
  <c r="C125" i="11" a="1"/>
  <c r="C125" i="11" s="1"/>
  <c r="B125" i="11"/>
  <c r="D124" i="11"/>
  <c r="E124" i="11" s="1"/>
  <c r="C124" i="11" a="1"/>
  <c r="C124" i="11" s="1"/>
  <c r="B123" i="11"/>
  <c r="D11" i="11"/>
  <c r="D122" i="11"/>
  <c r="E122" i="11" s="1"/>
  <c r="B122" i="11"/>
  <c r="C122" i="11" a="1"/>
  <c r="C122" i="11" s="1"/>
  <c r="D118" i="11"/>
  <c r="E118" i="11" s="1"/>
  <c r="B121" i="11"/>
  <c r="C121" i="11" a="1"/>
  <c r="C121" i="11" s="1"/>
  <c r="D121" i="11"/>
  <c r="E121" i="11" s="1"/>
  <c r="D119" i="11"/>
  <c r="E119" i="11" s="1"/>
  <c r="B119" i="11"/>
  <c r="C119" i="11" a="1"/>
  <c r="C119" i="11" s="1"/>
  <c r="B120" i="11"/>
  <c r="C120" i="11" a="1"/>
  <c r="C120" i="11" s="1"/>
  <c r="D120" i="11"/>
  <c r="E120" i="11" s="1"/>
  <c r="C118" i="11" a="1"/>
  <c r="C118" i="11" s="1"/>
  <c r="B118" i="11"/>
  <c r="D117" i="11"/>
  <c r="E117" i="11" s="1"/>
  <c r="C117" i="11" a="1"/>
  <c r="C117" i="11" s="1"/>
  <c r="B117" i="11"/>
  <c r="C10" i="11" a="1"/>
  <c r="C10" i="11" s="1"/>
  <c r="C115" i="11" a="1"/>
  <c r="C115" i="11" s="1"/>
  <c r="B115" i="11"/>
  <c r="D116" i="11"/>
  <c r="E116" i="11" s="1"/>
  <c r="C116" i="11" a="1"/>
  <c r="C116" i="11" s="1"/>
  <c r="B116" i="11"/>
  <c r="D115" i="11"/>
  <c r="E115" i="11" s="1"/>
  <c r="D8" i="11"/>
  <c r="E8" i="11" s="1"/>
  <c r="D47" i="11"/>
  <c r="E47" i="11" s="1"/>
  <c r="F47" i="11" s="1"/>
  <c r="G47" i="11" s="1"/>
  <c r="H47" i="11" s="1"/>
  <c r="I47" i="11" s="1"/>
  <c r="B24" i="11"/>
  <c r="C114" i="11" a="1"/>
  <c r="C114" i="11" s="1"/>
  <c r="B114" i="11"/>
  <c r="D114" i="11"/>
  <c r="E114" i="11" s="1"/>
  <c r="D30" i="11"/>
  <c r="E30" i="11" s="1"/>
  <c r="C90" i="11" a="1"/>
  <c r="C90" i="11" s="1"/>
  <c r="B20" i="11"/>
  <c r="D33" i="11"/>
  <c r="E33" i="11" s="1"/>
  <c r="F33" i="11" s="1"/>
  <c r="G33" i="11" s="1"/>
  <c r="H33" i="11" s="1"/>
  <c r="I33" i="11" s="1"/>
  <c r="D14" i="11"/>
  <c r="E14" i="11" s="1"/>
  <c r="D28" i="11"/>
  <c r="E28" i="11" s="1"/>
  <c r="B36" i="11"/>
  <c r="B50" i="11"/>
  <c r="D85" i="11"/>
  <c r="E85" i="11" s="1"/>
  <c r="D15" i="11"/>
  <c r="E15" i="11" s="1"/>
  <c r="D29" i="11"/>
  <c r="E29" i="11" s="1"/>
  <c r="B44" i="11"/>
  <c r="D57" i="11"/>
  <c r="E57" i="11" s="1"/>
  <c r="F57" i="11" s="1"/>
  <c r="G57" i="11" s="1"/>
  <c r="H57" i="11" s="1"/>
  <c r="I57" i="11" s="1"/>
  <c r="C64" i="11" a="1"/>
  <c r="C64" i="11" s="1"/>
  <c r="D71" i="11"/>
  <c r="E71" i="11" s="1"/>
  <c r="F71" i="11" s="1"/>
  <c r="G71" i="11" s="1"/>
  <c r="H71" i="11" s="1"/>
  <c r="I71" i="11" s="1"/>
  <c r="D86" i="11"/>
  <c r="E86" i="11" s="1"/>
  <c r="B8" i="11"/>
  <c r="D21" i="11"/>
  <c r="E21" i="11" s="1"/>
  <c r="D63" i="11"/>
  <c r="E63" i="11" s="1"/>
  <c r="F63" i="11" s="1"/>
  <c r="G63" i="11" s="1"/>
  <c r="H63" i="11" s="1"/>
  <c r="I63" i="11" s="1"/>
  <c r="D77" i="11"/>
  <c r="E77" i="11" s="1"/>
  <c r="F77" i="11" s="1"/>
  <c r="G77" i="11" s="1"/>
  <c r="H77" i="11" s="1"/>
  <c r="I77" i="11" s="1"/>
  <c r="D22" i="11"/>
  <c r="E22" i="11" s="1"/>
  <c r="C16" i="11" a="1"/>
  <c r="C16" i="11" s="1"/>
  <c r="B30" i="11"/>
  <c r="D36" i="11"/>
  <c r="C44" i="11" a="1"/>
  <c r="C44" i="11" s="1"/>
  <c r="D50" i="11"/>
  <c r="E50" i="11" s="1"/>
  <c r="B58" i="11"/>
  <c r="B72" i="11"/>
  <c r="D78" i="11"/>
  <c r="E78" i="11" s="1"/>
  <c r="B88" i="11"/>
  <c r="D44" i="11"/>
  <c r="E44" i="11" s="1"/>
  <c r="D58" i="11"/>
  <c r="E58" i="11" s="1"/>
  <c r="C18" i="11" a="1"/>
  <c r="C18" i="11" s="1"/>
  <c r="C32" i="11" a="1"/>
  <c r="C32" i="11" s="1"/>
  <c r="B46" i="11"/>
  <c r="C60" i="11" a="1"/>
  <c r="C60" i="11" s="1"/>
  <c r="D66" i="11"/>
  <c r="C74" i="11" a="1"/>
  <c r="C74" i="11" s="1"/>
  <c r="B38" i="11"/>
  <c r="B52" i="11"/>
  <c r="B66" i="11"/>
  <c r="D79" i="11"/>
  <c r="E79" i="11" s="1"/>
  <c r="F79" i="11" s="1"/>
  <c r="G79" i="11" s="1"/>
  <c r="H79" i="11" s="1"/>
  <c r="I79" i="11" s="1"/>
  <c r="D25" i="11"/>
  <c r="E25" i="11" s="1"/>
  <c r="F25" i="11" s="1"/>
  <c r="G25" i="11" s="1"/>
  <c r="H25" i="11" s="1"/>
  <c r="I25" i="11" s="1"/>
  <c r="C12" i="11" a="1"/>
  <c r="C12" i="11" s="1"/>
  <c r="C26" i="11" a="1"/>
  <c r="C26" i="11" s="1"/>
  <c r="B40" i="11"/>
  <c r="B54" i="11"/>
  <c r="D60" i="11"/>
  <c r="E60" i="11" s="1"/>
  <c r="C68" i="11" a="1"/>
  <c r="C68" i="11" s="1"/>
  <c r="D74" i="11"/>
  <c r="E74" i="11" s="1"/>
  <c r="C82" i="11" a="1"/>
  <c r="C82" i="11" s="1"/>
  <c r="C108" i="11" a="1"/>
  <c r="C108" i="11" s="1"/>
  <c r="D13" i="11"/>
  <c r="E13" i="11" s="1"/>
  <c r="D41" i="11"/>
  <c r="E41" i="11" s="1"/>
  <c r="C48" i="11" a="1"/>
  <c r="C48" i="11" s="1"/>
  <c r="C76" i="11" a="1"/>
  <c r="C76" i="11" s="1"/>
  <c r="D7" i="11"/>
  <c r="E7" i="11" s="1"/>
  <c r="F7" i="11" s="1"/>
  <c r="G7" i="11" s="1"/>
  <c r="H7" i="11" s="1"/>
  <c r="I7" i="11" s="1"/>
  <c r="D10" i="11"/>
  <c r="E10" i="11" s="1"/>
  <c r="B18" i="11"/>
  <c r="B32" i="11"/>
  <c r="D38" i="11"/>
  <c r="E38" i="11" s="1"/>
  <c r="C42" i="11" a="1"/>
  <c r="C42" i="11" s="1"/>
  <c r="D45" i="11"/>
  <c r="E45" i="11" s="1"/>
  <c r="F45" i="11" s="1"/>
  <c r="G45" i="11" s="1"/>
  <c r="H45" i="11" s="1"/>
  <c r="I45" i="11" s="1"/>
  <c r="D52" i="11"/>
  <c r="E52" i="11" s="1"/>
  <c r="C56" i="11" a="1"/>
  <c r="C56" i="11" s="1"/>
  <c r="B60" i="11"/>
  <c r="B70" i="11"/>
  <c r="D73" i="11"/>
  <c r="E73" i="11" s="1"/>
  <c r="F73" i="11" s="1"/>
  <c r="G73" i="11" s="1"/>
  <c r="H73" i="11" s="1"/>
  <c r="I73" i="11" s="1"/>
  <c r="C84" i="11" a="1"/>
  <c r="C84" i="11" s="1"/>
  <c r="D87" i="11"/>
  <c r="E87" i="11" s="1"/>
  <c r="F87" i="11" s="1"/>
  <c r="G87" i="11" s="1"/>
  <c r="H87" i="11" s="1"/>
  <c r="I87" i="11" s="1"/>
  <c r="D90" i="11"/>
  <c r="E90" i="11" s="1"/>
  <c r="B100" i="11"/>
  <c r="C100" i="11" a="1"/>
  <c r="C100" i="11" s="1"/>
  <c r="C8" i="11" a="1"/>
  <c r="C8" i="11" s="1"/>
  <c r="B12" i="11"/>
  <c r="B26" i="11"/>
  <c r="C36" i="11" a="1"/>
  <c r="C36" i="11" s="1"/>
  <c r="D39" i="11"/>
  <c r="E39" i="11" s="1"/>
  <c r="F39" i="11" s="1"/>
  <c r="G39" i="11" s="1"/>
  <c r="H39" i="11" s="1"/>
  <c r="I39" i="11" s="1"/>
  <c r="D42" i="11"/>
  <c r="D46" i="11"/>
  <c r="E46" i="11" s="1"/>
  <c r="C50" i="11" a="1"/>
  <c r="C50" i="11" s="1"/>
  <c r="D53" i="11"/>
  <c r="E53" i="11" s="1"/>
  <c r="F53" i="11" s="1"/>
  <c r="G53" i="11" s="1"/>
  <c r="H53" i="11" s="1"/>
  <c r="I53" i="11" s="1"/>
  <c r="B64" i="11"/>
  <c r="B78" i="11"/>
  <c r="D81" i="11"/>
  <c r="D84" i="11"/>
  <c r="E84" i="11" s="1"/>
  <c r="C88" i="11" a="1"/>
  <c r="C88" i="11" s="1"/>
  <c r="B92" i="11"/>
  <c r="B96" i="11"/>
  <c r="D101" i="11"/>
  <c r="E101" i="11" s="1"/>
  <c r="B82" i="11"/>
  <c r="C96" i="11" a="1"/>
  <c r="C96" i="11" s="1"/>
  <c r="C102" i="11" a="1"/>
  <c r="C102" i="11" s="1"/>
  <c r="D89" i="11"/>
  <c r="E89" i="11" s="1"/>
  <c r="F89" i="11" s="1"/>
  <c r="G89" i="11" s="1"/>
  <c r="H89" i="11" s="1"/>
  <c r="I89" i="11" s="1"/>
  <c r="D92" i="11"/>
  <c r="E92" i="11" s="1"/>
  <c r="D9" i="11"/>
  <c r="E9" i="11" s="1"/>
  <c r="F9" i="11" s="1"/>
  <c r="G9" i="11" s="1"/>
  <c r="H9" i="11" s="1"/>
  <c r="I9" i="11" s="1"/>
  <c r="C20" i="11" a="1"/>
  <c r="C20" i="11" s="1"/>
  <c r="D23" i="11"/>
  <c r="D26" i="11"/>
  <c r="E26" i="11" s="1"/>
  <c r="B34" i="11"/>
  <c r="D37" i="11"/>
  <c r="E37" i="11" s="1"/>
  <c r="F37" i="11" s="1"/>
  <c r="G37" i="11" s="1"/>
  <c r="H37" i="11" s="1"/>
  <c r="I37" i="11" s="1"/>
  <c r="B48" i="11"/>
  <c r="D54" i="11"/>
  <c r="C58" i="11" a="1"/>
  <c r="C58" i="11" s="1"/>
  <c r="B62" i="11"/>
  <c r="D65" i="11"/>
  <c r="D68" i="11"/>
  <c r="C72" i="11" a="1"/>
  <c r="C72" i="11" s="1"/>
  <c r="B76" i="11"/>
  <c r="B90" i="11"/>
  <c r="B98" i="11"/>
  <c r="C111" i="11" a="1"/>
  <c r="C111" i="11" s="1"/>
  <c r="D93" i="11"/>
  <c r="E93" i="11" s="1"/>
  <c r="C98" i="11" a="1"/>
  <c r="C98" i="11" s="1"/>
  <c r="B14" i="11"/>
  <c r="D17" i="11"/>
  <c r="D20" i="11"/>
  <c r="E20" i="11" s="1"/>
  <c r="C24" i="11" a="1"/>
  <c r="C24" i="11" s="1"/>
  <c r="B28" i="11"/>
  <c r="D31" i="11"/>
  <c r="E31" i="11" s="1"/>
  <c r="D34" i="11"/>
  <c r="E34" i="11" s="1"/>
  <c r="B42" i="11"/>
  <c r="C52" i="11" a="1"/>
  <c r="C52" i="11" s="1"/>
  <c r="B56" i="11"/>
  <c r="D62" i="11"/>
  <c r="C66" i="11" a="1"/>
  <c r="C66" i="11" s="1"/>
  <c r="D69" i="11"/>
  <c r="E69" i="11" s="1"/>
  <c r="F69" i="11" s="1"/>
  <c r="G69" i="11" s="1"/>
  <c r="H69" i="11" s="1"/>
  <c r="I69" i="11" s="1"/>
  <c r="C80" i="11" a="1"/>
  <c r="C80" i="11" s="1"/>
  <c r="B84" i="11"/>
  <c r="B94" i="11"/>
  <c r="D99" i="11"/>
  <c r="E99" i="11" s="1"/>
  <c r="C104" i="11" a="1"/>
  <c r="C104" i="11" s="1"/>
  <c r="B106" i="11"/>
  <c r="C106" i="11" a="1"/>
  <c r="C106" i="11" s="1"/>
  <c r="B102" i="11"/>
  <c r="D106" i="11"/>
  <c r="E106" i="11" s="1"/>
  <c r="B109" i="11"/>
  <c r="B113" i="11"/>
  <c r="C113" i="11" a="1"/>
  <c r="C113" i="11" s="1"/>
  <c r="D112" i="11"/>
  <c r="E112" i="11" s="1"/>
  <c r="D103" i="11"/>
  <c r="E103" i="11" s="1"/>
  <c r="D108" i="11"/>
  <c r="E108" i="11" s="1"/>
  <c r="D113" i="11"/>
  <c r="E113" i="11" s="1"/>
  <c r="C110" i="11" a="1"/>
  <c r="C110" i="11" s="1"/>
  <c r="B10" i="11"/>
  <c r="D12" i="11"/>
  <c r="B16" i="11"/>
  <c r="D18" i="11"/>
  <c r="E18" i="11" s="1"/>
  <c r="B22" i="11"/>
  <c r="C28" i="11" a="1"/>
  <c r="C28" i="11" s="1"/>
  <c r="C34" i="11" a="1"/>
  <c r="C34" i="11" s="1"/>
  <c r="C40" i="11" a="1"/>
  <c r="C40" i="11" s="1"/>
  <c r="D49" i="11"/>
  <c r="D55" i="11"/>
  <c r="D61" i="11"/>
  <c r="B68" i="11"/>
  <c r="D70" i="11"/>
  <c r="E70" i="11" s="1"/>
  <c r="B74" i="11"/>
  <c r="D76" i="11"/>
  <c r="E76" i="11" s="1"/>
  <c r="B80" i="11"/>
  <c r="D82" i="11"/>
  <c r="E82" i="11" s="1"/>
  <c r="B86" i="11"/>
  <c r="C92" i="11" a="1"/>
  <c r="C92" i="11" s="1"/>
  <c r="D95" i="11"/>
  <c r="E95" i="11" s="1"/>
  <c r="D110" i="11"/>
  <c r="E110" i="11" s="1"/>
  <c r="C14" i="11" a="1"/>
  <c r="C14" i="11" s="1"/>
  <c r="D16" i="11"/>
  <c r="E16" i="11" s="1"/>
  <c r="D19" i="11"/>
  <c r="C22" i="11" a="1"/>
  <c r="C22" i="11" s="1"/>
  <c r="D24" i="11"/>
  <c r="E24" i="11" s="1"/>
  <c r="D27" i="11"/>
  <c r="E27" i="11" s="1"/>
  <c r="F27" i="11" s="1"/>
  <c r="G27" i="11" s="1"/>
  <c r="H27" i="11" s="1"/>
  <c r="I27" i="11" s="1"/>
  <c r="C30" i="11" a="1"/>
  <c r="C30" i="11" s="1"/>
  <c r="D32" i="11"/>
  <c r="E32" i="11" s="1"/>
  <c r="D35" i="11"/>
  <c r="E35" i="11" s="1"/>
  <c r="F35" i="11" s="1"/>
  <c r="G35" i="11" s="1"/>
  <c r="H35" i="11" s="1"/>
  <c r="I35" i="11" s="1"/>
  <c r="C38" i="11" a="1"/>
  <c r="C38" i="11" s="1"/>
  <c r="D40" i="11"/>
  <c r="E40" i="11" s="1"/>
  <c r="D43" i="11"/>
  <c r="E43" i="11" s="1"/>
  <c r="C46" i="11" a="1"/>
  <c r="C46" i="11" s="1"/>
  <c r="D48" i="11"/>
  <c r="E48" i="11" s="1"/>
  <c r="D51" i="11"/>
  <c r="E51" i="11" s="1"/>
  <c r="F51" i="11" s="1"/>
  <c r="G51" i="11" s="1"/>
  <c r="H51" i="11" s="1"/>
  <c r="I51" i="11" s="1"/>
  <c r="C54" i="11" a="1"/>
  <c r="C54" i="11" s="1"/>
  <c r="D56" i="11"/>
  <c r="E56" i="11" s="1"/>
  <c r="D59" i="11"/>
  <c r="E59" i="11" s="1"/>
  <c r="F59" i="11" s="1"/>
  <c r="G59" i="11" s="1"/>
  <c r="H59" i="11" s="1"/>
  <c r="I59" i="11" s="1"/>
  <c r="C62" i="11" a="1"/>
  <c r="C62" i="11" s="1"/>
  <c r="D64" i="11"/>
  <c r="E64" i="11" s="1"/>
  <c r="D67" i="11"/>
  <c r="E67" i="11" s="1"/>
  <c r="F67" i="11" s="1"/>
  <c r="G67" i="11" s="1"/>
  <c r="H67" i="11" s="1"/>
  <c r="I67" i="11" s="1"/>
  <c r="C70" i="11" a="1"/>
  <c r="C70" i="11" s="1"/>
  <c r="D72" i="11"/>
  <c r="E72" i="11" s="1"/>
  <c r="D75" i="11"/>
  <c r="C78" i="11" a="1"/>
  <c r="C78" i="11" s="1"/>
  <c r="D80" i="11"/>
  <c r="E80" i="11" s="1"/>
  <c r="D83" i="11"/>
  <c r="C86" i="11" a="1"/>
  <c r="C86" i="11" s="1"/>
  <c r="D88" i="11"/>
  <c r="E88" i="11" s="1"/>
  <c r="D91" i="11"/>
  <c r="C94" i="11" a="1"/>
  <c r="C94" i="11" s="1"/>
  <c r="D97" i="11"/>
  <c r="E97" i="11" s="1"/>
  <c r="B104" i="11"/>
  <c r="B108" i="11"/>
  <c r="B111" i="11"/>
  <c r="D94" i="11"/>
  <c r="E94" i="11" s="1"/>
  <c r="D96" i="11"/>
  <c r="E96" i="11" s="1"/>
  <c r="D98" i="11"/>
  <c r="E98" i="11" s="1"/>
  <c r="D100" i="11"/>
  <c r="E100" i="11" s="1"/>
  <c r="D102" i="11"/>
  <c r="E102" i="11" s="1"/>
  <c r="D104" i="11"/>
  <c r="E104" i="11" s="1"/>
  <c r="B107" i="11"/>
  <c r="C109" i="11" a="1"/>
  <c r="C109" i="11" s="1"/>
  <c r="B13" i="11"/>
  <c r="B15" i="11"/>
  <c r="B17" i="11"/>
  <c r="B19" i="11"/>
  <c r="B21" i="11"/>
  <c r="B23" i="11"/>
  <c r="B25" i="11"/>
  <c r="B27" i="11"/>
  <c r="B29" i="11"/>
  <c r="B31" i="11"/>
  <c r="B33" i="11"/>
  <c r="B35" i="11"/>
  <c r="B37" i="11"/>
  <c r="B39" i="11"/>
  <c r="B41" i="11"/>
  <c r="B43" i="11"/>
  <c r="B45" i="11"/>
  <c r="B47" i="11"/>
  <c r="B49" i="11"/>
  <c r="B51" i="11"/>
  <c r="B53" i="11"/>
  <c r="B55" i="11"/>
  <c r="B57" i="11"/>
  <c r="B59" i="11"/>
  <c r="B61" i="11"/>
  <c r="B63" i="11"/>
  <c r="B65" i="11"/>
  <c r="B67" i="11"/>
  <c r="B69" i="11"/>
  <c r="B71" i="11"/>
  <c r="B73" i="11"/>
  <c r="B75" i="11"/>
  <c r="B77" i="11"/>
  <c r="B79" i="11"/>
  <c r="B81" i="11"/>
  <c r="B83" i="11"/>
  <c r="B85" i="11"/>
  <c r="B87" i="11"/>
  <c r="B89" i="11"/>
  <c r="B91" i="11"/>
  <c r="B93" i="11"/>
  <c r="B95" i="11"/>
  <c r="B97" i="11"/>
  <c r="B99" i="11"/>
  <c r="B101" i="11"/>
  <c r="B103" i="11"/>
  <c r="B105" i="11"/>
  <c r="C107" i="11" a="1"/>
  <c r="C107" i="11" s="1"/>
  <c r="B112" i="11"/>
  <c r="B7" i="11"/>
  <c r="B9" i="11"/>
  <c r="B11" i="11"/>
  <c r="C7" i="11" a="1"/>
  <c r="C7" i="11" s="1"/>
  <c r="C9" i="11" a="1"/>
  <c r="C9" i="11" s="1"/>
  <c r="C11" i="11" a="1"/>
  <c r="C11" i="11" s="1"/>
  <c r="C13" i="11" a="1"/>
  <c r="C13" i="11" s="1"/>
  <c r="C15" i="11" a="1"/>
  <c r="C15" i="11" s="1"/>
  <c r="C17" i="11" a="1"/>
  <c r="C17" i="11" s="1"/>
  <c r="C19" i="11" a="1"/>
  <c r="C19" i="11" s="1"/>
  <c r="C21" i="11" a="1"/>
  <c r="C21" i="11" s="1"/>
  <c r="C23" i="11" a="1"/>
  <c r="C23" i="11" s="1"/>
  <c r="C25" i="11" a="1"/>
  <c r="C25" i="11" s="1"/>
  <c r="C27" i="11" a="1"/>
  <c r="C27" i="11" s="1"/>
  <c r="C29" i="11" a="1"/>
  <c r="C29" i="11" s="1"/>
  <c r="C31" i="11" a="1"/>
  <c r="C31" i="11" s="1"/>
  <c r="C33" i="11" a="1"/>
  <c r="C33" i="11" s="1"/>
  <c r="C35" i="11" a="1"/>
  <c r="C35" i="11" s="1"/>
  <c r="C37" i="11" a="1"/>
  <c r="C37" i="11" s="1"/>
  <c r="C39" i="11" a="1"/>
  <c r="C39" i="11" s="1"/>
  <c r="C41" i="11" a="1"/>
  <c r="C41" i="11" s="1"/>
  <c r="C43" i="11" a="1"/>
  <c r="C43" i="11" s="1"/>
  <c r="C45" i="11" a="1"/>
  <c r="C45" i="11" s="1"/>
  <c r="C47" i="11" a="1"/>
  <c r="C47" i="11" s="1"/>
  <c r="C49" i="11" a="1"/>
  <c r="C49" i="11" s="1"/>
  <c r="C51" i="11" a="1"/>
  <c r="C51" i="11" s="1"/>
  <c r="C53" i="11" a="1"/>
  <c r="C53" i="11" s="1"/>
  <c r="C55" i="11" a="1"/>
  <c r="C55" i="11" s="1"/>
  <c r="C57" i="11" a="1"/>
  <c r="C57" i="11" s="1"/>
  <c r="C59" i="11" a="1"/>
  <c r="C59" i="11" s="1"/>
  <c r="C61" i="11" a="1"/>
  <c r="C61" i="11" s="1"/>
  <c r="C63" i="11" a="1"/>
  <c r="C63" i="11" s="1"/>
  <c r="C65" i="11" a="1"/>
  <c r="C65" i="11" s="1"/>
  <c r="C67" i="11" a="1"/>
  <c r="C67" i="11" s="1"/>
  <c r="C69" i="11" a="1"/>
  <c r="C69" i="11" s="1"/>
  <c r="C71" i="11" a="1"/>
  <c r="C71" i="11" s="1"/>
  <c r="C73" i="11" a="1"/>
  <c r="C73" i="11" s="1"/>
  <c r="C75" i="11" a="1"/>
  <c r="C75" i="11" s="1"/>
  <c r="C77" i="11" a="1"/>
  <c r="C77" i="11" s="1"/>
  <c r="C79" i="11" a="1"/>
  <c r="C79" i="11" s="1"/>
  <c r="C81" i="11" a="1"/>
  <c r="C81" i="11" s="1"/>
  <c r="C83" i="11" a="1"/>
  <c r="C83" i="11" s="1"/>
  <c r="C85" i="11" a="1"/>
  <c r="C85" i="11" s="1"/>
  <c r="C87" i="11" a="1"/>
  <c r="C87" i="11" s="1"/>
  <c r="C89" i="11" a="1"/>
  <c r="C89" i="11" s="1"/>
  <c r="C91" i="11" a="1"/>
  <c r="C91" i="11" s="1"/>
  <c r="C93" i="11" a="1"/>
  <c r="C93" i="11" s="1"/>
  <c r="C95" i="11" a="1"/>
  <c r="C95" i="11" s="1"/>
  <c r="C97" i="11" a="1"/>
  <c r="C97" i="11" s="1"/>
  <c r="C99" i="11" a="1"/>
  <c r="C99" i="11" s="1"/>
  <c r="C101" i="11" a="1"/>
  <c r="C101" i="11" s="1"/>
  <c r="C103" i="11" a="1"/>
  <c r="C103" i="11" s="1"/>
  <c r="C105" i="11" a="1"/>
  <c r="C105" i="11" s="1"/>
  <c r="B110" i="11"/>
  <c r="C112" i="11" a="1"/>
  <c r="C112" i="11" s="1"/>
  <c r="E2" i="11"/>
  <c r="D105" i="11"/>
  <c r="E105" i="11" s="1"/>
  <c r="D107" i="11"/>
  <c r="E107" i="11" s="1"/>
  <c r="D109" i="11"/>
  <c r="E109" i="11" s="1"/>
  <c r="D111" i="11"/>
  <c r="E111" i="11" s="1"/>
  <c r="F136" i="11" l="1"/>
  <c r="J136" i="11"/>
  <c r="G136" i="11"/>
  <c r="H136" i="11"/>
  <c r="K136" i="11"/>
  <c r="F41" i="11"/>
  <c r="G41" i="11" s="1"/>
  <c r="H41" i="11" s="1"/>
  <c r="I41" i="11" s="1"/>
  <c r="J41" i="11"/>
  <c r="I135" i="11"/>
  <c r="M135" i="11" s="1"/>
  <c r="F130" i="11"/>
  <c r="G130" i="11" s="1"/>
  <c r="K130" i="11" s="1"/>
  <c r="F134" i="11"/>
  <c r="G134" i="11" s="1"/>
  <c r="F132" i="11"/>
  <c r="J132" i="11" s="1"/>
  <c r="F131" i="11"/>
  <c r="G131" i="11" s="1"/>
  <c r="H131" i="11" s="1"/>
  <c r="F127" i="11"/>
  <c r="J127" i="11" s="1"/>
  <c r="F129" i="11"/>
  <c r="J129" i="11" s="1"/>
  <c r="F128" i="11"/>
  <c r="G128" i="11" s="1"/>
  <c r="J128" i="11"/>
  <c r="H128" i="11"/>
  <c r="K128" i="11"/>
  <c r="I128" i="11"/>
  <c r="M128" i="11" s="1"/>
  <c r="F133" i="11"/>
  <c r="J133" i="11" s="1"/>
  <c r="J33" i="11"/>
  <c r="F26" i="11"/>
  <c r="G26" i="11" s="1"/>
  <c r="H26" i="11" s="1"/>
  <c r="I26" i="11" s="1"/>
  <c r="F32" i="11"/>
  <c r="G32" i="11" s="1"/>
  <c r="H32" i="11" s="1"/>
  <c r="I32" i="11" s="1"/>
  <c r="F18" i="11"/>
  <c r="G18" i="11" s="1"/>
  <c r="H18" i="11" s="1"/>
  <c r="I18" i="11" s="1"/>
  <c r="I106" i="11"/>
  <c r="F106" i="11"/>
  <c r="G106" i="11"/>
  <c r="H106" i="11"/>
  <c r="H31" i="11"/>
  <c r="I31" i="11"/>
  <c r="F31" i="11"/>
  <c r="G31" i="11"/>
  <c r="G85" i="11"/>
  <c r="H85" i="11"/>
  <c r="I85" i="11"/>
  <c r="F85" i="11"/>
  <c r="F30" i="11"/>
  <c r="G30" i="11" s="1"/>
  <c r="F117" i="11"/>
  <c r="G117" i="11" s="1"/>
  <c r="H117" i="11" s="1"/>
  <c r="I117" i="11" s="1"/>
  <c r="G119" i="11"/>
  <c r="I119" i="11"/>
  <c r="F119" i="11"/>
  <c r="H119" i="11"/>
  <c r="F121" i="11"/>
  <c r="G121" i="11" s="1"/>
  <c r="J125" i="11"/>
  <c r="H125" i="11"/>
  <c r="I125" i="11"/>
  <c r="F125" i="11"/>
  <c r="G125" i="11"/>
  <c r="F90" i="11"/>
  <c r="G90" i="11" s="1"/>
  <c r="H90" i="11" s="1"/>
  <c r="I90" i="11" s="1"/>
  <c r="F44" i="11"/>
  <c r="G44" i="11" s="1"/>
  <c r="F116" i="11"/>
  <c r="G116" i="11" s="1"/>
  <c r="H116" i="11" s="1"/>
  <c r="I116" i="11" s="1"/>
  <c r="F28" i="11"/>
  <c r="J28" i="11" s="1"/>
  <c r="F120" i="11"/>
  <c r="G120" i="11" s="1"/>
  <c r="H120" i="11" s="1"/>
  <c r="I120" i="11" s="1"/>
  <c r="F123" i="11"/>
  <c r="J123" i="11" s="1"/>
  <c r="F64" i="11"/>
  <c r="G64" i="11" s="1"/>
  <c r="H64" i="11" s="1"/>
  <c r="I64" i="11" s="1"/>
  <c r="I43" i="11"/>
  <c r="G43" i="11"/>
  <c r="F43" i="11"/>
  <c r="H43" i="11"/>
  <c r="H82" i="11"/>
  <c r="F82" i="11"/>
  <c r="G82" i="11"/>
  <c r="I82" i="11"/>
  <c r="F93" i="11"/>
  <c r="G93" i="11"/>
  <c r="H93" i="11"/>
  <c r="I93" i="11"/>
  <c r="F10" i="11"/>
  <c r="G10" i="11" s="1"/>
  <c r="F115" i="11"/>
  <c r="J115" i="11" s="1"/>
  <c r="F40" i="11"/>
  <c r="G40" i="11" s="1"/>
  <c r="H40" i="11" s="1"/>
  <c r="I40" i="11" s="1"/>
  <c r="F80" i="11"/>
  <c r="G80" i="11" s="1"/>
  <c r="H80" i="11" s="1"/>
  <c r="I80" i="11" s="1"/>
  <c r="F16" i="11"/>
  <c r="G16" i="11" s="1"/>
  <c r="F60" i="11"/>
  <c r="G60" i="11" s="1"/>
  <c r="H60" i="11" s="1"/>
  <c r="I60" i="11" s="1"/>
  <c r="F58" i="11"/>
  <c r="J58" i="11" s="1"/>
  <c r="H114" i="11"/>
  <c r="F114" i="11"/>
  <c r="G114" i="11"/>
  <c r="I114" i="11"/>
  <c r="F56" i="11"/>
  <c r="G56" i="11" s="1"/>
  <c r="H56" i="11" s="1"/>
  <c r="I56" i="11" s="1"/>
  <c r="F97" i="11"/>
  <c r="G97" i="11" s="1"/>
  <c r="H97" i="11" s="1"/>
  <c r="I97" i="11" s="1"/>
  <c r="F110" i="11"/>
  <c r="G110" i="11" s="1"/>
  <c r="H110" i="11" s="1"/>
  <c r="I110" i="11" s="1"/>
  <c r="F20" i="11"/>
  <c r="G20" i="11" s="1"/>
  <c r="H20" i="11" s="1"/>
  <c r="I20" i="11" s="1"/>
  <c r="H109" i="11"/>
  <c r="I109" i="11"/>
  <c r="F109" i="11"/>
  <c r="G109" i="11"/>
  <c r="F112" i="11"/>
  <c r="G112" i="11" s="1"/>
  <c r="H112" i="11" s="1"/>
  <c r="I112" i="11" s="1"/>
  <c r="F38" i="11"/>
  <c r="J38" i="11" s="1"/>
  <c r="F13" i="11"/>
  <c r="G13" i="11" s="1"/>
  <c r="H13" i="11" s="1"/>
  <c r="I13" i="11" s="1"/>
  <c r="F78" i="11"/>
  <c r="J78" i="11" s="1"/>
  <c r="F22" i="11"/>
  <c r="G22" i="11"/>
  <c r="H22" i="11"/>
  <c r="I22" i="11"/>
  <c r="F14" i="11"/>
  <c r="G14" i="11" s="1"/>
  <c r="H14" i="11" s="1"/>
  <c r="I14" i="11" s="1"/>
  <c r="F118" i="11"/>
  <c r="J118" i="11" s="1"/>
  <c r="G94" i="11"/>
  <c r="H94" i="11"/>
  <c r="I94" i="11"/>
  <c r="F94" i="11"/>
  <c r="F34" i="11"/>
  <c r="G34" i="11" s="1"/>
  <c r="H34" i="11" s="1"/>
  <c r="I34" i="11" s="1"/>
  <c r="F101" i="11"/>
  <c r="G101" i="11" s="1"/>
  <c r="F74" i="11"/>
  <c r="G74" i="11" s="1"/>
  <c r="H74" i="11" s="1"/>
  <c r="I74" i="11" s="1"/>
  <c r="F50" i="11"/>
  <c r="G50" i="11" s="1"/>
  <c r="H50" i="11" s="1"/>
  <c r="I50" i="11" s="1"/>
  <c r="J21" i="11"/>
  <c r="I21" i="11"/>
  <c r="G21" i="11"/>
  <c r="F21" i="11"/>
  <c r="H21" i="11"/>
  <c r="H15" i="11"/>
  <c r="I15" i="11"/>
  <c r="F15" i="11"/>
  <c r="G15" i="11"/>
  <c r="F76" i="11"/>
  <c r="G76" i="11" s="1"/>
  <c r="H76" i="11" s="1"/>
  <c r="I76" i="11" s="1"/>
  <c r="F113" i="11"/>
  <c r="G113" i="11" s="1"/>
  <c r="H113" i="11" s="1"/>
  <c r="I113" i="11" s="1"/>
  <c r="F46" i="11"/>
  <c r="G46" i="11" s="1"/>
  <c r="H46" i="11" s="1"/>
  <c r="I46" i="11" s="1"/>
  <c r="F52" i="11"/>
  <c r="G52" i="11" s="1"/>
  <c r="H52" i="11" s="1"/>
  <c r="I52" i="11" s="1"/>
  <c r="F86" i="11"/>
  <c r="G86" i="11" s="1"/>
  <c r="H86" i="11" s="1"/>
  <c r="I86" i="11" s="1"/>
  <c r="F104" i="11"/>
  <c r="G104" i="11" s="1"/>
  <c r="H104" i="11" s="1"/>
  <c r="I104" i="11" s="1"/>
  <c r="F108" i="11"/>
  <c r="G108" i="11" s="1"/>
  <c r="H108" i="11" s="1"/>
  <c r="I108" i="11" s="1"/>
  <c r="H92" i="11"/>
  <c r="F92" i="11"/>
  <c r="I92" i="11"/>
  <c r="G92" i="11"/>
  <c r="H111" i="11"/>
  <c r="F111" i="11"/>
  <c r="G111" i="11"/>
  <c r="I111" i="11"/>
  <c r="F102" i="11"/>
  <c r="G102" i="11" s="1"/>
  <c r="H102" i="11" s="1"/>
  <c r="I102" i="11" s="1"/>
  <c r="F70" i="11"/>
  <c r="G70" i="11" s="1"/>
  <c r="H70" i="11" s="1"/>
  <c r="I70" i="11" s="1"/>
  <c r="F103" i="11"/>
  <c r="G103" i="11" s="1"/>
  <c r="H103" i="11" s="1"/>
  <c r="I103" i="11" s="1"/>
  <c r="F84" i="11"/>
  <c r="G84" i="11"/>
  <c r="H84" i="11"/>
  <c r="I84" i="11"/>
  <c r="F100" i="11"/>
  <c r="G100" i="11" s="1"/>
  <c r="H100" i="11" s="1"/>
  <c r="I100" i="11" s="1"/>
  <c r="F72" i="11"/>
  <c r="G72" i="11" s="1"/>
  <c r="H72" i="11" s="1"/>
  <c r="I72" i="11" s="1"/>
  <c r="F95" i="11"/>
  <c r="G95" i="11" s="1"/>
  <c r="H95" i="11" s="1"/>
  <c r="I95" i="11" s="1"/>
  <c r="F107" i="11"/>
  <c r="G107" i="11" s="1"/>
  <c r="H107" i="11" s="1"/>
  <c r="I107" i="11" s="1"/>
  <c r="F98" i="11"/>
  <c r="G98" i="11" s="1"/>
  <c r="H98" i="11" s="1"/>
  <c r="I98" i="11" s="1"/>
  <c r="F48" i="11"/>
  <c r="G48" i="11" s="1"/>
  <c r="H99" i="11"/>
  <c r="F99" i="11"/>
  <c r="G99" i="11"/>
  <c r="I99" i="11"/>
  <c r="F105" i="11"/>
  <c r="G105" i="11"/>
  <c r="H105" i="11"/>
  <c r="I105" i="11"/>
  <c r="H96" i="11"/>
  <c r="F96" i="11"/>
  <c r="G96" i="11"/>
  <c r="I96" i="11"/>
  <c r="F88" i="11"/>
  <c r="G88" i="11" s="1"/>
  <c r="H88" i="11" s="1"/>
  <c r="I88" i="11" s="1"/>
  <c r="J24" i="11"/>
  <c r="I24" i="11"/>
  <c r="F24" i="11"/>
  <c r="G24" i="11"/>
  <c r="H24" i="11"/>
  <c r="F29" i="11"/>
  <c r="G29" i="11"/>
  <c r="H29" i="11"/>
  <c r="I29" i="11"/>
  <c r="F8" i="11"/>
  <c r="G8" i="11"/>
  <c r="H8" i="11"/>
  <c r="I8" i="11"/>
  <c r="F124" i="11"/>
  <c r="G124" i="11" s="1"/>
  <c r="H124" i="11" s="1"/>
  <c r="I124" i="11" s="1"/>
  <c r="F122" i="11"/>
  <c r="G122" i="11" s="1"/>
  <c r="F126" i="11"/>
  <c r="G126" i="11" s="1"/>
  <c r="K125" i="11"/>
  <c r="J9" i="11"/>
  <c r="M119" i="11"/>
  <c r="K119" i="11"/>
  <c r="J119" i="11"/>
  <c r="M22" i="11"/>
  <c r="E75" i="11"/>
  <c r="F75" i="11" s="1"/>
  <c r="G75" i="11" s="1"/>
  <c r="H75" i="11" s="1"/>
  <c r="I75" i="11" s="1"/>
  <c r="E11" i="11"/>
  <c r="F11" i="11" s="1"/>
  <c r="G11" i="11" s="1"/>
  <c r="H11" i="11" s="1"/>
  <c r="I11" i="11" s="1"/>
  <c r="E62" i="11"/>
  <c r="E91" i="11"/>
  <c r="E36" i="11"/>
  <c r="E54" i="11"/>
  <c r="E17" i="11"/>
  <c r="E23" i="11"/>
  <c r="F23" i="11" s="1"/>
  <c r="G23" i="11" s="1"/>
  <c r="H23" i="11" s="1"/>
  <c r="I23" i="11" s="1"/>
  <c r="E61" i="11"/>
  <c r="F61" i="11" s="1"/>
  <c r="G61" i="11" s="1"/>
  <c r="H61" i="11" s="1"/>
  <c r="I61" i="11" s="1"/>
  <c r="E12" i="11"/>
  <c r="E83" i="11"/>
  <c r="E19" i="11"/>
  <c r="F19" i="11" s="1"/>
  <c r="G19" i="11" s="1"/>
  <c r="H19" i="11" s="1"/>
  <c r="I19" i="11" s="1"/>
  <c r="E49" i="11"/>
  <c r="E68" i="11"/>
  <c r="E42" i="11"/>
  <c r="E66" i="11"/>
  <c r="E65" i="11"/>
  <c r="F65" i="11" s="1"/>
  <c r="G65" i="11" s="1"/>
  <c r="H65" i="11" s="1"/>
  <c r="I65" i="11" s="1"/>
  <c r="E81" i="11"/>
  <c r="F81" i="11" s="1"/>
  <c r="G81" i="11" s="1"/>
  <c r="H81" i="11" s="1"/>
  <c r="I81" i="11" s="1"/>
  <c r="E55" i="11"/>
  <c r="J8" i="11"/>
  <c r="K114" i="11"/>
  <c r="J29" i="11"/>
  <c r="K24" i="11"/>
  <c r="L24" i="11"/>
  <c r="M24" i="11"/>
  <c r="J53" i="11"/>
  <c r="J67" i="11"/>
  <c r="K73" i="11"/>
  <c r="J7" i="11"/>
  <c r="J35" i="11"/>
  <c r="J84" i="11"/>
  <c r="J22" i="11"/>
  <c r="J92" i="11"/>
  <c r="K22" i="11"/>
  <c r="J85" i="11"/>
  <c r="J93" i="11"/>
  <c r="L22" i="11"/>
  <c r="K94" i="11"/>
  <c r="K77" i="11"/>
  <c r="J87" i="11"/>
  <c r="J79" i="11"/>
  <c r="J59" i="11"/>
  <c r="K57" i="11"/>
  <c r="J57" i="11"/>
  <c r="J47" i="11"/>
  <c r="K47" i="11"/>
  <c r="M33" i="11"/>
  <c r="K15" i="11"/>
  <c r="J15" i="11"/>
  <c r="K21" i="11"/>
  <c r="C5" i="11"/>
  <c r="K25" i="11"/>
  <c r="J96" i="11"/>
  <c r="J105" i="11"/>
  <c r="J99" i="11"/>
  <c r="J106" i="11"/>
  <c r="B5" i="11"/>
  <c r="I136" i="11" l="1"/>
  <c r="M136" i="11" s="1"/>
  <c r="L136" i="11"/>
  <c r="G127" i="11"/>
  <c r="K127" i="11" s="1"/>
  <c r="G133" i="11"/>
  <c r="H133" i="11" s="1"/>
  <c r="I133" i="11" s="1"/>
  <c r="M133" i="11" s="1"/>
  <c r="K134" i="11"/>
  <c r="H134" i="11"/>
  <c r="J134" i="11"/>
  <c r="K131" i="11"/>
  <c r="J130" i="11"/>
  <c r="L131" i="11"/>
  <c r="I131" i="11"/>
  <c r="M131" i="11" s="1"/>
  <c r="G129" i="11"/>
  <c r="H130" i="11"/>
  <c r="J131" i="11"/>
  <c r="G132" i="11"/>
  <c r="J26" i="11"/>
  <c r="J18" i="11"/>
  <c r="K13" i="11"/>
  <c r="J20" i="11"/>
  <c r="J117" i="11"/>
  <c r="J40" i="11"/>
  <c r="J86" i="11"/>
  <c r="J80" i="11"/>
  <c r="J10" i="11"/>
  <c r="J107" i="11"/>
  <c r="J103" i="11"/>
  <c r="J34" i="11"/>
  <c r="J52" i="11"/>
  <c r="J113" i="11"/>
  <c r="J116" i="11"/>
  <c r="J112" i="11"/>
  <c r="J30" i="11"/>
  <c r="J121" i="11"/>
  <c r="H30" i="11"/>
  <c r="I30" i="11" s="1"/>
  <c r="K30" i="11"/>
  <c r="J74" i="11"/>
  <c r="J60" i="11"/>
  <c r="G118" i="11"/>
  <c r="H118" i="11" s="1"/>
  <c r="I118" i="11" s="1"/>
  <c r="M118" i="11" s="1"/>
  <c r="J14" i="11"/>
  <c r="J124" i="11"/>
  <c r="J102" i="11"/>
  <c r="G78" i="11"/>
  <c r="H78" i="11" s="1"/>
  <c r="I78" i="11" s="1"/>
  <c r="J70" i="11"/>
  <c r="H101" i="11"/>
  <c r="I101" i="11" s="1"/>
  <c r="K101" i="11"/>
  <c r="H121" i="11"/>
  <c r="I121" i="11" s="1"/>
  <c r="M121" i="11" s="1"/>
  <c r="K121" i="11"/>
  <c r="G38" i="11"/>
  <c r="H38" i="11" s="1"/>
  <c r="J50" i="11"/>
  <c r="H48" i="11"/>
  <c r="I48" i="11" s="1"/>
  <c r="M48" i="11" s="1"/>
  <c r="K48" i="11"/>
  <c r="H16" i="11"/>
  <c r="I16" i="11" s="1"/>
  <c r="M16" i="11" s="1"/>
  <c r="K16" i="11"/>
  <c r="H44" i="11"/>
  <c r="I44" i="11" s="1"/>
  <c r="M44" i="11" s="1"/>
  <c r="K44" i="11"/>
  <c r="H126" i="11"/>
  <c r="K126" i="11"/>
  <c r="H122" i="11"/>
  <c r="I122" i="11" s="1"/>
  <c r="M122" i="11" s="1"/>
  <c r="K122" i="11"/>
  <c r="H10" i="11"/>
  <c r="I10" i="11" s="1"/>
  <c r="M10" i="11" s="1"/>
  <c r="K10" i="11"/>
  <c r="J54" i="11"/>
  <c r="F54" i="11"/>
  <c r="G54" i="11"/>
  <c r="H54" i="11"/>
  <c r="I54" i="11"/>
  <c r="F36" i="11"/>
  <c r="J36" i="11" s="1"/>
  <c r="J126" i="11"/>
  <c r="F91" i="11"/>
  <c r="G91" i="11" s="1"/>
  <c r="H91" i="11" s="1"/>
  <c r="I91" i="11" s="1"/>
  <c r="L120" i="11"/>
  <c r="J122" i="11"/>
  <c r="G83" i="11"/>
  <c r="H83" i="11"/>
  <c r="I83" i="11"/>
  <c r="F83" i="11"/>
  <c r="F62" i="11"/>
  <c r="G62" i="11"/>
  <c r="H62" i="11"/>
  <c r="I62" i="11"/>
  <c r="G58" i="11"/>
  <c r="H58" i="11" s="1"/>
  <c r="I58" i="11" s="1"/>
  <c r="G28" i="11"/>
  <c r="H28" i="11" s="1"/>
  <c r="I28" i="11" s="1"/>
  <c r="J55" i="11"/>
  <c r="H55" i="11"/>
  <c r="I55" i="11"/>
  <c r="F55" i="11"/>
  <c r="G55" i="11"/>
  <c r="F12" i="11"/>
  <c r="J12" i="11" s="1"/>
  <c r="F66" i="11"/>
  <c r="J66" i="11" s="1"/>
  <c r="J13" i="11"/>
  <c r="G115" i="11"/>
  <c r="H115" i="11" s="1"/>
  <c r="I115" i="11" s="1"/>
  <c r="F49" i="11"/>
  <c r="G49" i="11"/>
  <c r="H49" i="11"/>
  <c r="I49" i="11"/>
  <c r="F42" i="11"/>
  <c r="G42" i="11"/>
  <c r="H42" i="11"/>
  <c r="I42" i="11"/>
  <c r="F68" i="11"/>
  <c r="G68" i="11" s="1"/>
  <c r="J17" i="11"/>
  <c r="F17" i="11"/>
  <c r="H17" i="11"/>
  <c r="G17" i="11"/>
  <c r="I17" i="11"/>
  <c r="G123" i="11"/>
  <c r="K124" i="11"/>
  <c r="M125" i="11"/>
  <c r="L125" i="11"/>
  <c r="M124" i="11"/>
  <c r="L124" i="11"/>
  <c r="K9" i="11"/>
  <c r="L119" i="11"/>
  <c r="K120" i="11"/>
  <c r="J110" i="11"/>
  <c r="J120" i="11"/>
  <c r="M120" i="11"/>
  <c r="M70" i="11"/>
  <c r="J65" i="11"/>
  <c r="E5" i="11"/>
  <c r="K56" i="11"/>
  <c r="J49" i="11"/>
  <c r="J23" i="11"/>
  <c r="K23" i="11"/>
  <c r="J81" i="11"/>
  <c r="J83" i="11"/>
  <c r="J62" i="11"/>
  <c r="J75" i="11"/>
  <c r="J19" i="11"/>
  <c r="J42" i="11"/>
  <c r="J56" i="11"/>
  <c r="L112" i="11"/>
  <c r="K110" i="11"/>
  <c r="K109" i="11"/>
  <c r="J109" i="11"/>
  <c r="J108" i="11"/>
  <c r="K108" i="11"/>
  <c r="K107" i="11"/>
  <c r="J104" i="11"/>
  <c r="L104" i="11"/>
  <c r="M104" i="11"/>
  <c r="J97" i="11"/>
  <c r="K104" i="11"/>
  <c r="K111" i="11"/>
  <c r="J111" i="11"/>
  <c r="J100" i="11"/>
  <c r="M100" i="11"/>
  <c r="L100" i="11"/>
  <c r="K100" i="11"/>
  <c r="J98" i="11"/>
  <c r="J94" i="11"/>
  <c r="K98" i="11"/>
  <c r="K96" i="11"/>
  <c r="K97" i="11"/>
  <c r="K95" i="11"/>
  <c r="L92" i="11"/>
  <c r="J95" i="11"/>
  <c r="M94" i="11"/>
  <c r="J89" i="11"/>
  <c r="J90" i="11"/>
  <c r="M90" i="11"/>
  <c r="L90" i="11"/>
  <c r="K90" i="11"/>
  <c r="K89" i="11"/>
  <c r="J88" i="11"/>
  <c r="K88" i="11"/>
  <c r="L86" i="11"/>
  <c r="K82" i="11"/>
  <c r="J82" i="11"/>
  <c r="J77" i="11"/>
  <c r="M74" i="11"/>
  <c r="K76" i="11"/>
  <c r="J76" i="11"/>
  <c r="J73" i="11"/>
  <c r="J71" i="11"/>
  <c r="J64" i="11"/>
  <c r="J72" i="11"/>
  <c r="K72" i="11"/>
  <c r="K71" i="11"/>
  <c r="K116" i="11"/>
  <c r="K69" i="11"/>
  <c r="J69" i="11"/>
  <c r="J39" i="11"/>
  <c r="K26" i="11"/>
  <c r="K39" i="11"/>
  <c r="J114" i="11"/>
  <c r="M114" i="11"/>
  <c r="K29" i="11"/>
  <c r="K27" i="11"/>
  <c r="J44" i="11"/>
  <c r="K7" i="11"/>
  <c r="J27" i="11"/>
  <c r="K53" i="11"/>
  <c r="K67" i="11"/>
  <c r="J101" i="11"/>
  <c r="J16" i="11"/>
  <c r="J45" i="11"/>
  <c r="J63" i="11"/>
  <c r="K63" i="11"/>
  <c r="J51" i="11"/>
  <c r="K35" i="11"/>
  <c r="K34" i="11"/>
  <c r="K18" i="11"/>
  <c r="J32" i="11"/>
  <c r="M60" i="11"/>
  <c r="K20" i="11"/>
  <c r="K45" i="11"/>
  <c r="J48" i="11"/>
  <c r="K59" i="11"/>
  <c r="K64" i="11"/>
  <c r="M64" i="11"/>
  <c r="L63" i="11"/>
  <c r="M63" i="11"/>
  <c r="K62" i="11"/>
  <c r="M57" i="11"/>
  <c r="L57" i="11"/>
  <c r="L56" i="11"/>
  <c r="M56" i="11"/>
  <c r="K55" i="11"/>
  <c r="K51" i="11"/>
  <c r="K50" i="11"/>
  <c r="K49" i="11"/>
  <c r="L47" i="11"/>
  <c r="M47" i="11"/>
  <c r="K46" i="11"/>
  <c r="J46" i="11"/>
  <c r="L45" i="11"/>
  <c r="M45" i="11"/>
  <c r="K43" i="11"/>
  <c r="J43" i="11"/>
  <c r="L33" i="11"/>
  <c r="K41" i="11"/>
  <c r="K33" i="11"/>
  <c r="M39" i="11"/>
  <c r="L39" i="11"/>
  <c r="K37" i="11"/>
  <c r="J37" i="11"/>
  <c r="L13" i="11"/>
  <c r="J25" i="11"/>
  <c r="K32" i="11"/>
  <c r="L27" i="11"/>
  <c r="M27" i="11"/>
  <c r="M21" i="11"/>
  <c r="M15" i="11"/>
  <c r="L15" i="11"/>
  <c r="K14" i="11"/>
  <c r="K31" i="11"/>
  <c r="J31" i="11"/>
  <c r="K17" i="11"/>
  <c r="H127" i="11" l="1"/>
  <c r="I127" i="11" s="1"/>
  <c r="M127" i="11" s="1"/>
  <c r="K133" i="11"/>
  <c r="L133" i="11"/>
  <c r="I134" i="11"/>
  <c r="M134" i="11" s="1"/>
  <c r="L134" i="11"/>
  <c r="H132" i="11"/>
  <c r="K132" i="11"/>
  <c r="L130" i="11"/>
  <c r="I130" i="11"/>
  <c r="M130" i="11" s="1"/>
  <c r="K129" i="11"/>
  <c r="H129" i="11"/>
  <c r="L30" i="11"/>
  <c r="K78" i="11"/>
  <c r="K118" i="11"/>
  <c r="L118" i="11"/>
  <c r="K38" i="11"/>
  <c r="L121" i="11"/>
  <c r="G36" i="11"/>
  <c r="K28" i="11"/>
  <c r="G12" i="11"/>
  <c r="H12" i="11" s="1"/>
  <c r="I12" i="11" s="1"/>
  <c r="I38" i="11"/>
  <c r="M38" i="11" s="1"/>
  <c r="L38" i="11"/>
  <c r="L10" i="11"/>
  <c r="L122" i="11"/>
  <c r="H68" i="11"/>
  <c r="I68" i="11" s="1"/>
  <c r="M68" i="11" s="1"/>
  <c r="K68" i="11"/>
  <c r="I126" i="11"/>
  <c r="M126" i="11" s="1"/>
  <c r="L126" i="11"/>
  <c r="H123" i="11"/>
  <c r="K123" i="11"/>
  <c r="L115" i="11"/>
  <c r="G66" i="11"/>
  <c r="J68" i="11"/>
  <c r="K81" i="11"/>
  <c r="K40" i="11"/>
  <c r="K70" i="11"/>
  <c r="L70" i="11"/>
  <c r="M23" i="11"/>
  <c r="K54" i="11"/>
  <c r="J61" i="11"/>
  <c r="M61" i="11"/>
  <c r="K61" i="11"/>
  <c r="K91" i="11"/>
  <c r="M91" i="11"/>
  <c r="J11" i="11"/>
  <c r="J91" i="11"/>
  <c r="K117" i="11"/>
  <c r="L117" i="11"/>
  <c r="M117" i="11"/>
  <c r="K112" i="11"/>
  <c r="M112" i="11"/>
  <c r="K113" i="11"/>
  <c r="M110" i="11"/>
  <c r="L110" i="11"/>
  <c r="L74" i="11"/>
  <c r="L109" i="11"/>
  <c r="M109" i="11"/>
  <c r="L107" i="11"/>
  <c r="L108" i="11"/>
  <c r="M108" i="11"/>
  <c r="K106" i="11"/>
  <c r="K105" i="11"/>
  <c r="K85" i="11"/>
  <c r="K103" i="11"/>
  <c r="K102" i="11"/>
  <c r="L111" i="11"/>
  <c r="M111" i="11"/>
  <c r="K99" i="11"/>
  <c r="M96" i="11"/>
  <c r="M98" i="11"/>
  <c r="L98" i="11"/>
  <c r="M92" i="11"/>
  <c r="L97" i="11"/>
  <c r="M97" i="11"/>
  <c r="K92" i="11"/>
  <c r="K93" i="11"/>
  <c r="L95" i="11"/>
  <c r="M95" i="11"/>
  <c r="M86" i="11"/>
  <c r="L94" i="11"/>
  <c r="K86" i="11"/>
  <c r="L89" i="11"/>
  <c r="M89" i="11"/>
  <c r="M88" i="11"/>
  <c r="L88" i="11"/>
  <c r="K87" i="11"/>
  <c r="L85" i="11"/>
  <c r="M85" i="11"/>
  <c r="K84" i="11"/>
  <c r="L82" i="11"/>
  <c r="M82" i="11"/>
  <c r="K74" i="11"/>
  <c r="M81" i="11"/>
  <c r="L81" i="11"/>
  <c r="K80" i="11"/>
  <c r="K79" i="11"/>
  <c r="M78" i="11"/>
  <c r="L78" i="11"/>
  <c r="M77" i="11"/>
  <c r="L77" i="11"/>
  <c r="L76" i="11"/>
  <c r="M76" i="11"/>
  <c r="M73" i="11"/>
  <c r="L73" i="11"/>
  <c r="L72" i="11"/>
  <c r="M72" i="11"/>
  <c r="L71" i="11"/>
  <c r="M71" i="11"/>
  <c r="M116" i="11"/>
  <c r="M115" i="11"/>
  <c r="K115" i="11"/>
  <c r="M69" i="11"/>
  <c r="L69" i="11"/>
  <c r="M26" i="11"/>
  <c r="K8" i="11"/>
  <c r="L114" i="11"/>
  <c r="L29" i="11"/>
  <c r="L53" i="11"/>
  <c r="L16" i="11"/>
  <c r="L7" i="11"/>
  <c r="M67" i="11"/>
  <c r="L44" i="11"/>
  <c r="L18" i="11"/>
  <c r="L34" i="11"/>
  <c r="M101" i="11"/>
  <c r="L101" i="11"/>
  <c r="L20" i="11"/>
  <c r="L35" i="11"/>
  <c r="K60" i="11"/>
  <c r="L60" i="11"/>
  <c r="L48" i="11"/>
  <c r="L59" i="11"/>
  <c r="L64" i="11"/>
  <c r="L62" i="11"/>
  <c r="M62" i="11"/>
  <c r="K58" i="11"/>
  <c r="L55" i="11"/>
  <c r="M55" i="11"/>
  <c r="L54" i="11"/>
  <c r="M54" i="11"/>
  <c r="K52" i="11"/>
  <c r="L51" i="11"/>
  <c r="M51" i="11"/>
  <c r="L49" i="11"/>
  <c r="M49" i="11"/>
  <c r="L50" i="11"/>
  <c r="M50" i="11"/>
  <c r="M46" i="11"/>
  <c r="L46" i="11"/>
  <c r="L43" i="11"/>
  <c r="M43" i="11"/>
  <c r="L41" i="11"/>
  <c r="M41" i="11"/>
  <c r="L40" i="11"/>
  <c r="M40" i="11"/>
  <c r="M13" i="11"/>
  <c r="M37" i="11"/>
  <c r="L37" i="11"/>
  <c r="L32" i="11"/>
  <c r="M32" i="11"/>
  <c r="L25" i="11"/>
  <c r="M25" i="11"/>
  <c r="L21" i="11"/>
  <c r="M14" i="11"/>
  <c r="L14" i="11"/>
  <c r="M30" i="11"/>
  <c r="M9" i="11"/>
  <c r="L9" i="11"/>
  <c r="M8" i="11"/>
  <c r="L8" i="11"/>
  <c r="M31" i="11"/>
  <c r="L31" i="11"/>
  <c r="L28" i="11"/>
  <c r="M28" i="11"/>
  <c r="M17" i="11"/>
  <c r="L17" i="11"/>
  <c r="G52" i="3"/>
  <c r="L127" i="11" l="1"/>
  <c r="L129" i="11"/>
  <c r="I129" i="11"/>
  <c r="M129" i="11" s="1"/>
  <c r="L132" i="11"/>
  <c r="I132" i="11"/>
  <c r="M132" i="11" s="1"/>
  <c r="L68" i="11"/>
  <c r="H36" i="11"/>
  <c r="K36" i="11"/>
  <c r="K12" i="11"/>
  <c r="I123" i="11"/>
  <c r="M123" i="11" s="1"/>
  <c r="L123" i="11"/>
  <c r="H66" i="11"/>
  <c r="I66" i="11" s="1"/>
  <c r="M66" i="11" s="1"/>
  <c r="K66" i="11"/>
  <c r="L61" i="11"/>
  <c r="L23" i="11"/>
  <c r="K65" i="11"/>
  <c r="L91" i="11"/>
  <c r="K75" i="11"/>
  <c r="K83" i="11"/>
  <c r="L12" i="11"/>
  <c r="M12" i="11"/>
  <c r="K11" i="11"/>
  <c r="K42" i="11"/>
  <c r="K19" i="11"/>
  <c r="L113" i="11"/>
  <c r="M113" i="11"/>
  <c r="M107" i="11"/>
  <c r="M106" i="11"/>
  <c r="L106" i="11"/>
  <c r="M105" i="11"/>
  <c r="L105" i="11"/>
  <c r="M103" i="11"/>
  <c r="L103" i="11"/>
  <c r="L102" i="11"/>
  <c r="M102" i="11"/>
  <c r="L96" i="11"/>
  <c r="L99" i="11"/>
  <c r="M99" i="11"/>
  <c r="L93" i="11"/>
  <c r="M93" i="11"/>
  <c r="M87" i="11"/>
  <c r="L87" i="11"/>
  <c r="M84" i="11"/>
  <c r="L84" i="11"/>
  <c r="L116" i="11"/>
  <c r="M80" i="11"/>
  <c r="L80" i="11"/>
  <c r="M79" i="11"/>
  <c r="L79" i="11"/>
  <c r="L26" i="11"/>
  <c r="M29" i="11"/>
  <c r="M7" i="11"/>
  <c r="M53" i="11"/>
  <c r="L67" i="11"/>
  <c r="M18" i="11"/>
  <c r="M34" i="11"/>
  <c r="M20" i="11"/>
  <c r="M59" i="11"/>
  <c r="M35" i="11"/>
  <c r="L58" i="11"/>
  <c r="M58" i="11"/>
  <c r="L52" i="11"/>
  <c r="M52" i="11"/>
  <c r="B4" i="4"/>
  <c r="F5" i="4" s="1"/>
  <c r="J4" i="4"/>
  <c r="K4" i="4"/>
  <c r="L4" i="4"/>
  <c r="B5" i="4"/>
  <c r="J5" i="4"/>
  <c r="K5" i="4"/>
  <c r="L5" i="4"/>
  <c r="B6" i="4"/>
  <c r="F13" i="4" s="1"/>
  <c r="J6" i="4"/>
  <c r="K6" i="4"/>
  <c r="L6" i="4"/>
  <c r="B7" i="4"/>
  <c r="F6" i="4" s="1"/>
  <c r="J7" i="4"/>
  <c r="K7" i="4"/>
  <c r="L7" i="4"/>
  <c r="B8" i="4"/>
  <c r="F14" i="4" s="1"/>
  <c r="J8" i="4"/>
  <c r="K8" i="4"/>
  <c r="L8" i="4"/>
  <c r="B9" i="4"/>
  <c r="F15" i="4" s="1"/>
  <c r="J9" i="4"/>
  <c r="K9" i="4"/>
  <c r="L9" i="4"/>
  <c r="B10" i="4"/>
  <c r="F7" i="4" s="1"/>
  <c r="J10" i="4"/>
  <c r="K10" i="4"/>
  <c r="L10" i="4"/>
  <c r="B11" i="4"/>
  <c r="F8" i="4" s="1"/>
  <c r="J11" i="4"/>
  <c r="K11" i="4"/>
  <c r="L11" i="4"/>
  <c r="B12" i="4"/>
  <c r="F16" i="4" s="1"/>
  <c r="F12" i="4"/>
  <c r="J12" i="4"/>
  <c r="K12" i="4"/>
  <c r="L12" i="4"/>
  <c r="B13" i="4"/>
  <c r="F9" i="4" s="1"/>
  <c r="J13" i="4"/>
  <c r="K13" i="4"/>
  <c r="L13" i="4"/>
  <c r="B14" i="4"/>
  <c r="F17" i="4" s="1"/>
  <c r="J14" i="4"/>
  <c r="K14" i="4"/>
  <c r="L14" i="4"/>
  <c r="B15" i="4"/>
  <c r="F18" i="4" s="1"/>
  <c r="J15" i="4"/>
  <c r="K15" i="4"/>
  <c r="L15" i="4"/>
  <c r="B16" i="4"/>
  <c r="F19" i="4" s="1"/>
  <c r="J16" i="4"/>
  <c r="K16" i="4"/>
  <c r="L16" i="4"/>
  <c r="B17" i="4"/>
  <c r="F20" i="4" s="1"/>
  <c r="J17" i="4"/>
  <c r="K17" i="4"/>
  <c r="L17" i="4"/>
  <c r="B18" i="4"/>
  <c r="F21" i="4" s="1"/>
  <c r="J18" i="4"/>
  <c r="K18" i="4"/>
  <c r="L18" i="4"/>
  <c r="B19" i="4"/>
  <c r="F4" i="4" s="1"/>
  <c r="J19" i="4"/>
  <c r="K19" i="4"/>
  <c r="L19" i="4"/>
  <c r="B20" i="4"/>
  <c r="F22" i="4" s="1"/>
  <c r="J20" i="4"/>
  <c r="K20" i="4"/>
  <c r="L20" i="4"/>
  <c r="B21" i="4"/>
  <c r="F23" i="4" s="1"/>
  <c r="J21" i="4"/>
  <c r="K21" i="4"/>
  <c r="L21" i="4"/>
  <c r="B22" i="4"/>
  <c r="F24" i="4" s="1"/>
  <c r="J22" i="4"/>
  <c r="K22" i="4"/>
  <c r="L22" i="4"/>
  <c r="B23" i="4"/>
  <c r="F10" i="4" s="1"/>
  <c r="J23" i="4"/>
  <c r="K23" i="4"/>
  <c r="L23" i="4"/>
  <c r="B24" i="4"/>
  <c r="F25" i="4" s="1"/>
  <c r="J24" i="4"/>
  <c r="K24" i="4"/>
  <c r="L24" i="4"/>
  <c r="B25" i="4"/>
  <c r="F26" i="4" s="1"/>
  <c r="J25" i="4"/>
  <c r="K25" i="4"/>
  <c r="L25" i="4"/>
  <c r="B26" i="4"/>
  <c r="F27" i="4" s="1"/>
  <c r="J26" i="4"/>
  <c r="K26" i="4"/>
  <c r="L26" i="4"/>
  <c r="B27" i="4"/>
  <c r="F28" i="4" s="1"/>
  <c r="J27" i="4"/>
  <c r="K27" i="4"/>
  <c r="L27" i="4"/>
  <c r="B28" i="4"/>
  <c r="F29" i="4" s="1"/>
  <c r="J28" i="4"/>
  <c r="K28" i="4"/>
  <c r="L28" i="4"/>
  <c r="B29" i="4"/>
  <c r="F11" i="4" s="1"/>
  <c r="J29" i="4"/>
  <c r="K29" i="4"/>
  <c r="L29" i="4"/>
  <c r="B30" i="4"/>
  <c r="F30" i="4" s="1"/>
  <c r="J30" i="4"/>
  <c r="K30" i="4"/>
  <c r="L30" i="4"/>
  <c r="B31" i="4"/>
  <c r="F31" i="4" s="1"/>
  <c r="J31" i="4"/>
  <c r="K31" i="4"/>
  <c r="L31" i="4"/>
  <c r="B32" i="4"/>
  <c r="F32" i="4" s="1"/>
  <c r="J32" i="4"/>
  <c r="K32" i="4"/>
  <c r="L32" i="4"/>
  <c r="B33" i="4"/>
  <c r="F33" i="4" s="1"/>
  <c r="J33" i="4"/>
  <c r="K33" i="4"/>
  <c r="L33" i="4"/>
  <c r="B34" i="4"/>
  <c r="F34" i="4" s="1"/>
  <c r="J34" i="4"/>
  <c r="K34" i="4"/>
  <c r="L34" i="4"/>
  <c r="B35" i="4"/>
  <c r="F35" i="4" s="1"/>
  <c r="J35" i="4"/>
  <c r="K35" i="4"/>
  <c r="L35" i="4"/>
  <c r="B36" i="4"/>
  <c r="F36" i="4" s="1"/>
  <c r="J36" i="4"/>
  <c r="K36" i="4"/>
  <c r="L36" i="4"/>
  <c r="B37" i="4"/>
  <c r="F37" i="4" s="1"/>
  <c r="J37" i="4"/>
  <c r="K37" i="4"/>
  <c r="L37" i="4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2" i="3"/>
  <c r="G43" i="3"/>
  <c r="G44" i="3"/>
  <c r="G45" i="3"/>
  <c r="G46" i="3"/>
  <c r="G47" i="3"/>
  <c r="G48" i="3"/>
  <c r="G49" i="3"/>
  <c r="G50" i="3"/>
  <c r="G51" i="3"/>
  <c r="B3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I36" i="11" l="1"/>
  <c r="M36" i="11" s="1"/>
  <c r="L36" i="11"/>
  <c r="L66" i="11"/>
  <c r="M65" i="11"/>
  <c r="L65" i="11"/>
  <c r="L83" i="11"/>
  <c r="M83" i="11"/>
  <c r="L75" i="11"/>
  <c r="M75" i="11"/>
  <c r="M19" i="11"/>
  <c r="L19" i="11"/>
  <c r="M42" i="11"/>
  <c r="L42" i="11"/>
  <c r="L11" i="11"/>
  <c r="M11" i="11"/>
  <c r="M13" i="4"/>
  <c r="M8" i="4"/>
  <c r="M4" i="4"/>
  <c r="M6" i="4"/>
  <c r="M20" i="4"/>
  <c r="M18" i="4"/>
  <c r="M16" i="4"/>
  <c r="M5" i="4"/>
  <c r="M11" i="4"/>
  <c r="M9" i="4"/>
  <c r="M7" i="4"/>
  <c r="K38" i="4"/>
  <c r="M14" i="4"/>
  <c r="M12" i="4"/>
  <c r="M15" i="4"/>
  <c r="M10" i="4"/>
  <c r="M37" i="4"/>
  <c r="M33" i="4"/>
  <c r="M27" i="4"/>
  <c r="M23" i="4"/>
  <c r="M19" i="4"/>
  <c r="M17" i="4"/>
  <c r="L38" i="4"/>
  <c r="M36" i="4"/>
  <c r="M32" i="4"/>
  <c r="M28" i="4"/>
  <c r="M24" i="4"/>
  <c r="M34" i="4"/>
  <c r="M30" i="4"/>
  <c r="M26" i="4"/>
  <c r="M22" i="4"/>
  <c r="M35" i="4"/>
  <c r="M31" i="4"/>
  <c r="M29" i="4"/>
  <c r="M25" i="4"/>
  <c r="M21" i="4"/>
  <c r="J38" i="4"/>
  <c r="C1" i="11" l="1"/>
  <c r="M3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Vighnesh Ramayanam</author>
  </authors>
  <commentList>
    <comment ref="F59" authorId="0" shapeId="0" xr:uid="{9FF644BF-7372-411B-8DAB-B81FAAE56F6D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New follow up as old contact left company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Vighnesh Ramayanam</author>
  </authors>
  <commentList>
    <comment ref="E8" authorId="0" shapeId="0" xr:uid="{85CE5E56-64E3-4821-A9B0-BE286E970589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Jaipur (3), Noida, Gurugram, Jalpaiguri, Hyderabad, Pune, Bangalore</t>
        </r>
      </text>
    </comment>
    <comment ref="F8" authorId="0" shapeId="0" xr:uid="{14D70EE2-B9AD-4B6E-A866-CF2ADCEF7946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Private Circle (INR)</t>
        </r>
      </text>
    </comment>
    <comment ref="F9" authorId="0" shapeId="0" xr:uid="{92F404CE-4023-4E31-B426-FDCA68C479B6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Private Circle (INR)</t>
        </r>
      </text>
    </comment>
    <comment ref="E10" authorId="0" shapeId="0" xr:uid="{EE985397-3067-4366-866B-D1FA52E5F72B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Bangalore (2), Mumbai, Pune (2), Hyderabad</t>
        </r>
      </text>
    </comment>
    <comment ref="E11" authorId="0" shapeId="0" xr:uid="{B33DE2FE-FF35-4481-8C2E-39295386CBA4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Hyderabad</t>
        </r>
      </text>
    </comment>
    <comment ref="F11" authorId="0" shapeId="0" xr:uid="{C45C6F3E-D01D-4C1A-81B3-636062338ECC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Google (dollars); heavily estimated</t>
        </r>
      </text>
    </comment>
    <comment ref="E12" authorId="0" shapeId="0" xr:uid="{AB77FE8C-D380-4DFC-ACFB-16FB84BE29FF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E13" authorId="0" shapeId="0" xr:uid="{B5CC34C7-2711-4C42-BDB7-D8FCD1D31B0A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Hyderabad</t>
        </r>
      </text>
    </comment>
    <comment ref="E14" authorId="0" shapeId="0" xr:uid="{72CFE277-5E34-460C-AE99-58BD0536ABF2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Bangalore</t>
        </r>
      </text>
    </comment>
    <comment ref="E15" authorId="0" shapeId="0" xr:uid="{723DB327-182D-446F-B714-0ADFD6CC490A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Hyderabad, Gandhinagar</t>
        </r>
      </text>
    </comment>
    <comment ref="E16" authorId="0" shapeId="0" xr:uid="{229475DB-ECEB-4AD5-87F2-F8E2B14F477F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Noida</t>
        </r>
      </text>
    </comment>
    <comment ref="E17" authorId="0" shapeId="0" xr:uid="{24464488-D7D1-4A28-8F2C-1EA9DC358C47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Hong Kong</t>
        </r>
      </text>
    </comment>
    <comment ref="F17" authorId="0" shapeId="0" xr:uid="{8508BFD2-AFFE-4D29-AC26-4DB377C416F9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Google (dollars); heavily estimated</t>
        </r>
      </text>
    </comment>
    <comment ref="F19" authorId="0" shapeId="0" xr:uid="{0ABD073D-E5DD-4820-AB3A-4422B9C1553E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Google (dollars); heavily estimated</t>
        </r>
      </text>
    </comment>
    <comment ref="F38" authorId="0" shapeId="0" xr:uid="{4122C799-913C-440E-9E87-C63A015665E6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Google (dollars); heavily estimated</t>
        </r>
      </text>
    </comment>
    <comment ref="E53" authorId="0" shapeId="0" xr:uid="{562CB7AB-8554-46A0-B908-1D817FF1BC1D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Bangalore, Pune</t>
        </r>
      </text>
    </comment>
    <comment ref="F53" authorId="0" shapeId="0" xr:uid="{8A406EDE-F5D1-4685-B98F-2ADBC7A87062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Heavily estimated from Google</t>
        </r>
      </text>
    </comment>
    <comment ref="E54" authorId="0" shapeId="0" xr:uid="{342A239E-502A-406C-AB4A-3F87D54A076D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Bangalore, Chennai, Hyderabad, Pune</t>
        </r>
      </text>
    </comment>
    <comment ref="E55" authorId="0" shapeId="0" xr:uid="{77F1F6EF-DFDE-4487-8037-C531330DED5E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Mumbai</t>
        </r>
      </text>
    </comment>
    <comment ref="F55" authorId="0" shapeId="0" xr:uid="{75CFC527-EB1B-462A-B402-EB3B61E19D33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Private Circle (INR)</t>
        </r>
      </text>
    </comment>
    <comment ref="E56" authorId="0" shapeId="0" xr:uid="{B259E12B-0D90-43B5-BC17-698F95ABE99A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Bangalore, Bhopal, Chennai, Kochin, Coimbatore, Hyderabad, Mumbai</t>
        </r>
      </text>
    </comment>
    <comment ref="F56" authorId="0" shapeId="0" xr:uid="{958F9EC8-640C-47E7-AE3F-3E59BCDEAB33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Private Circle (INR)</t>
        </r>
      </text>
    </comment>
    <comment ref="E57" authorId="0" shapeId="0" xr:uid="{504A1BE8-FB69-4B06-9441-B2B5E6EA0BE2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Dehradun, Delhi, Hyderabad, Noida</t>
        </r>
      </text>
    </comment>
    <comment ref="F57" authorId="0" shapeId="0" xr:uid="{A1031861-6F5B-48F9-B09D-4851544C750C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Revenue taken from Private Circle (INR)</t>
        </r>
      </text>
    </comment>
    <comment ref="E59" authorId="0" shapeId="0" xr:uid="{D8721748-01F4-49FD-909D-2C5AC3E4F7CE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Pune</t>
        </r>
      </text>
    </comment>
    <comment ref="E60" authorId="0" shapeId="0" xr:uid="{A0AA0B31-9883-45B2-9980-E9B857940884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Bengaluru, Chennai, Gurugram, Hyderabad, Kolkota, Noida, Mumbai, Pune, Puducherry, Trichy</t>
        </r>
      </text>
    </comment>
    <comment ref="E61" authorId="0" shapeId="0" xr:uid="{26915863-976E-4D21-B73B-1FA46FF0715F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Bengaluru, Chennai, Coimbatore, Gurgaon, Hyderabad  </t>
        </r>
      </text>
    </comment>
    <comment ref="E62" authorId="0" shapeId="0" xr:uid="{53FBE78D-6A6D-4544-A7FE-E7A0EFBE7365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Bengaluru, Delhi, Gurgaon, Kochi, Mumbai, Pune</t>
        </r>
      </text>
    </comment>
    <comment ref="E63" authorId="0" shapeId="0" xr:uid="{A57F58F1-402A-4236-AB1A-0C0642FB8FB0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Bengaluru</t>
        </r>
      </text>
    </comment>
    <comment ref="E64" authorId="0" shapeId="0" xr:uid="{774BF340-918C-4FF0-A609-3B1196A700C9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Begaluru, Chennai, Gurugram, Hyderabad, Nagpur, Noida, Pune</t>
        </r>
      </text>
    </comment>
    <comment ref="E65" authorId="0" shapeId="0" xr:uid="{D812C167-F81D-422F-A67B-6CF7F513DE30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Hyderabad</t>
        </r>
      </text>
    </comment>
    <comment ref="E67" authorId="0" shapeId="0" xr:uid="{CBED7C63-D4A0-4A23-8307-31E36667988D}">
      <text>
        <r>
          <rPr>
            <b/>
            <sz val="9"/>
            <color indexed="81"/>
            <rFont val="Tahoma"/>
            <family val="2"/>
          </rPr>
          <t>Vighnesh Ramayanam:</t>
        </r>
        <r>
          <rPr>
            <sz val="9"/>
            <color indexed="81"/>
            <rFont val="Tahoma"/>
            <family val="2"/>
          </rPr>
          <t xml:space="preserve">
Delhi, Noida, Odisha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<sst xmlns="http://schemas.openxmlformats.org/spreadsheetml/2006/main" count="2369" uniqueCount="951">
  <si>
    <t>PE porfotio buyers - 22by7</t>
  </si>
  <si>
    <t>Company Name</t>
  </si>
  <si>
    <t>HQ</t>
  </si>
  <si>
    <t>Initial email</t>
  </si>
  <si>
    <t>Status</t>
  </si>
  <si>
    <t>Website link</t>
  </si>
  <si>
    <t>Contact Name 1</t>
  </si>
  <si>
    <t>Designation 1</t>
  </si>
  <si>
    <t>Email Id 1</t>
  </si>
  <si>
    <t>Linkedin 1</t>
  </si>
  <si>
    <t>Contact Name 2</t>
  </si>
  <si>
    <t>Designation 2</t>
  </si>
  <si>
    <t>Email Id 2</t>
  </si>
  <si>
    <t>Linkedin 2</t>
  </si>
  <si>
    <t>Bucket</t>
  </si>
  <si>
    <t>Trunorth</t>
  </si>
  <si>
    <t>India</t>
  </si>
  <si>
    <t>https://www.truenorth.co.in/</t>
  </si>
  <si>
    <t>Mahinder Singh Juneja</t>
  </si>
  <si>
    <t>Partner</t>
  </si>
  <si>
    <t>maninder@truenorth.co.in</t>
  </si>
  <si>
    <t>https://www.linkedin.com/in/maninder-singh-juneja-35a01a13/</t>
  </si>
  <si>
    <t>Khushal Singla</t>
  </si>
  <si>
    <t>Private Credit Investment Professional</t>
  </si>
  <si>
    <t>khushal@truenorth.co.in</t>
  </si>
  <si>
    <t>https://www.linkedin.com/in/khushal-singla-656017166/</t>
  </si>
  <si>
    <t>Indian PEs with related porfolio companies</t>
  </si>
  <si>
    <t>MC Partners</t>
  </si>
  <si>
    <t>USA</t>
  </si>
  <si>
    <t>https://www.mcpartners.com/</t>
  </si>
  <si>
    <t>Ryan Carr</t>
  </si>
  <si>
    <t>rcarr@mcpartners.com</t>
  </si>
  <si>
    <t>https://www.linkedin.com/in/ryan-carr-b6453736/</t>
  </si>
  <si>
    <t>Foreign PEs with related pofolio companies having Indian offices</t>
  </si>
  <si>
    <t>Norwest</t>
  </si>
  <si>
    <t>https://www.norwest.com/</t>
  </si>
  <si>
    <t>Jon Kossow</t>
  </si>
  <si>
    <t>Managing Partner</t>
  </si>
  <si>
    <t>jkossow@nvp.com</t>
  </si>
  <si>
    <t>https://www.linkedin.com/in/jon-kossow-42706b2/</t>
  </si>
  <si>
    <t>Intel Capital</t>
  </si>
  <si>
    <t>https://www.intelcapital.com/</t>
  </si>
  <si>
    <t>Aravind Bharadwaj</t>
  </si>
  <si>
    <t>Investment Partner</t>
  </si>
  <si>
    <t>aravind.bharadwaj@intel.com</t>
  </si>
  <si>
    <t>https://www.linkedin.com/in/aravindbharadwaj/</t>
  </si>
  <si>
    <t>The Stephens Group</t>
  </si>
  <si>
    <t>https://www.stephensgroup.com/</t>
  </si>
  <si>
    <t>Jack Nadal</t>
  </si>
  <si>
    <t>Managing Director</t>
  </si>
  <si>
    <t>jnadal@stephensgroup.com</t>
  </si>
  <si>
    <t>https://www.linkedin.com/in/jack-nadal-7157b8a/</t>
  </si>
  <si>
    <t>VSS Capital Partners</t>
  </si>
  <si>
    <t>https://www.vss.com/</t>
  </si>
  <si>
    <t>Jeffrey Stevenson</t>
  </si>
  <si>
    <t>stevensonj@vss.com</t>
  </si>
  <si>
    <t>https://www.linkedin.com/in/jeffrey-stevenson-8914318/</t>
  </si>
  <si>
    <t>Abry Partners</t>
  </si>
  <si>
    <t>https://abry.com/</t>
  </si>
  <si>
    <t>Steve Zammit</t>
  </si>
  <si>
    <t>szammit@abry.com</t>
  </si>
  <si>
    <t>https://www.linkedin.com/in/steve-zammit-a22189/</t>
  </si>
  <si>
    <t>Lightview Partners</t>
  </si>
  <si>
    <t>https://www.lightviewcapital.com/</t>
  </si>
  <si>
    <t>Conor Mullett</t>
  </si>
  <si>
    <t>Co-Founder/Managing Director</t>
  </si>
  <si>
    <t>cmullett@lightviewcapital.com</t>
  </si>
  <si>
    <t>https://www.linkedin.com/in/conor-mullett-7b640b/</t>
  </si>
  <si>
    <t>Recognize</t>
  </si>
  <si>
    <t>Bounced</t>
  </si>
  <si>
    <t>https://recognize.com/</t>
  </si>
  <si>
    <t>Anup Hira</t>
  </si>
  <si>
    <t>anup@recognize.com</t>
  </si>
  <si>
    <t>https://www.linkedin.com/in/anuphira/</t>
  </si>
  <si>
    <t>Advent</t>
  </si>
  <si>
    <t>https://www.adventinternational.com/</t>
  </si>
  <si>
    <t>Mohammed Anjarwala</t>
  </si>
  <si>
    <t>manjarwala@adventinternational.com</t>
  </si>
  <si>
    <t>https://www.linkedin.com/in/anjarwala/</t>
  </si>
  <si>
    <t>Foreign PE with potfolio companies not having Indian offices</t>
  </si>
  <si>
    <t>Kedaara</t>
  </si>
  <si>
    <t>https://kedaara.com/</t>
  </si>
  <si>
    <t>Manish Kejriwal</t>
  </si>
  <si>
    <t>Founder/Managing Partner</t>
  </si>
  <si>
    <t>manish.kejriwal@kedaara.com</t>
  </si>
  <si>
    <t>https://www.linkedin.com/in/manish-kejriwal-1a7336/</t>
  </si>
  <si>
    <t>Priyansh Changoiwala</t>
  </si>
  <si>
    <t>Associate</t>
  </si>
  <si>
    <t>priyansh.changoiwala@kedaara.com</t>
  </si>
  <si>
    <t>https://www.linkedin.com/in/priyansh-changoiwala-685280177/</t>
  </si>
  <si>
    <t>Indian PE with unrelated potfolio companies</t>
  </si>
  <si>
    <t>8 Roads</t>
  </si>
  <si>
    <t>Bermuda</t>
  </si>
  <si>
    <t>https://eightroads.com/en/</t>
  </si>
  <si>
    <t>Gordon Zhang</t>
  </si>
  <si>
    <t>gordon.zhang@eightroads.com</t>
  </si>
  <si>
    <t>https://www.linkedin.com/in/gordon-zhang-9490b3273/</t>
  </si>
  <si>
    <t>Convergent Finance</t>
  </si>
  <si>
    <t>https://convergentfinance.com/</t>
  </si>
  <si>
    <t>Harsha Raghavan</t>
  </si>
  <si>
    <t>harsha@convergentfinance.com</t>
  </si>
  <si>
    <t>https://www.linkedin.com/in/harsha-raghavan-1218a11b5/</t>
  </si>
  <si>
    <t>Indian PEs with unrelated potfolio companies</t>
  </si>
  <si>
    <t>Premji Invest</t>
  </si>
  <si>
    <t>https://in.premjiinvest.com/</t>
  </si>
  <si>
    <t>Kaveesh Chawla</t>
  </si>
  <si>
    <t>kaveesh.chawla@premjiinvest.com</t>
  </si>
  <si>
    <t>https://www.linkedin.com/in/kaveeshchawla/</t>
  </si>
  <si>
    <t>Samara Capital</t>
  </si>
  <si>
    <t>https://samaracapital.com/</t>
  </si>
  <si>
    <t>Manish Mehta</t>
  </si>
  <si>
    <t>manish@samaracapital.com</t>
  </si>
  <si>
    <t>https://www.linkedin.com/in/manish-mehta-0883873/</t>
  </si>
  <si>
    <t>Evergreen Services Group</t>
  </si>
  <si>
    <t>Got response</t>
  </si>
  <si>
    <t>https://www.evergreensg.com/</t>
  </si>
  <si>
    <t>Ramsey Sahyoun</t>
  </si>
  <si>
    <t>Co-founder/M&amp;A Partner</t>
  </si>
  <si>
    <t>rsahyoun@evergreensg.com</t>
  </si>
  <si>
    <t>https://www.linkedin.com/in/ramsey-sahyoun-67b32683/</t>
  </si>
  <si>
    <t>Creador</t>
  </si>
  <si>
    <t>Malysia</t>
  </si>
  <si>
    <t>https://creador.com/</t>
  </si>
  <si>
    <t>Alberto Lazzari</t>
  </si>
  <si>
    <t>PE Professional</t>
  </si>
  <si>
    <t>a.lazzari@creador.com</t>
  </si>
  <si>
    <t>https://www.linkedin.com/in/alberto-lazzari-mba-217b944a/</t>
  </si>
  <si>
    <t>Sunstone Partners</t>
  </si>
  <si>
    <t>https://sunstonepartners.com/</t>
  </si>
  <si>
    <t>Ankur Rathi</t>
  </si>
  <si>
    <t>arathi@sunstonepartners.com</t>
  </si>
  <si>
    <t>https://www.linkedin.com/in/arathi2/</t>
  </si>
  <si>
    <t>ChrysCapital</t>
  </si>
  <si>
    <t>Mauritius</t>
  </si>
  <si>
    <t>https://chryscapital.com/</t>
  </si>
  <si>
    <t>Sanjiv Kaul</t>
  </si>
  <si>
    <t>sanjiv@chryscapital.com</t>
  </si>
  <si>
    <t>https://www.linkedin.com/in/sanjiv-kaul-135b301a5/</t>
  </si>
  <si>
    <t>Halyard Capital</t>
  </si>
  <si>
    <t>https://www.halyard.com/</t>
  </si>
  <si>
    <t>Robert Nolan</t>
  </si>
  <si>
    <t>rnolan@halyard.com</t>
  </si>
  <si>
    <t>https://www.linkedin.com/in/robert-nolan10/</t>
  </si>
  <si>
    <t>Navis Capital Partners</t>
  </si>
  <si>
    <t>https://www.naviscapital.com/</t>
  </si>
  <si>
    <t>Gordon C.</t>
  </si>
  <si>
    <t>Operating Partner</t>
  </si>
  <si>
    <t>gchan@naviscapital.com</t>
  </si>
  <si>
    <t>https://www.linkedin.com/in/gordon-c-2118734/</t>
  </si>
  <si>
    <t>Ascent Capital</t>
  </si>
  <si>
    <t>https://ascentcapital.in/</t>
  </si>
  <si>
    <t>Raja Kumar</t>
  </si>
  <si>
    <t>raja@ascentcapital.in</t>
  </si>
  <si>
    <t>https://www.linkedin.com/in/raja-kumar-455b7245/</t>
  </si>
  <si>
    <t>Gaja Capital</t>
  </si>
  <si>
    <t>https://gajacapital.com/</t>
  </si>
  <si>
    <t>Sushane Chopra</t>
  </si>
  <si>
    <t>sushane.chopra@gajacapital.com</t>
  </si>
  <si>
    <t>https://www.linkedin.com/in/sushane-chopra-b248334/</t>
  </si>
  <si>
    <t>Westbridge Capital</t>
  </si>
  <si>
    <t>https://westbridgecap.com/</t>
  </si>
  <si>
    <t>Sumir Chadha</t>
  </si>
  <si>
    <t>Co-founder/Managing Partner</t>
  </si>
  <si>
    <t>sumir.chadha@westbridgecap.com</t>
  </si>
  <si>
    <t>https://www.linkedin.com/in/sumir-chadha-bb8b563/</t>
  </si>
  <si>
    <t>Stakeboat Capital</t>
  </si>
  <si>
    <t>https://stakeboat.com/</t>
  </si>
  <si>
    <t>Chandrasekar Kandasamy</t>
  </si>
  <si>
    <t>chandra@stakeboat.com</t>
  </si>
  <si>
    <t>https://www.linkedin.com/in/chandrasekar-kandasamy-4b8703/</t>
  </si>
  <si>
    <t>Ram Pratheek Azendla</t>
  </si>
  <si>
    <t>Senior Associate</t>
  </si>
  <si>
    <t>pratheek@stakeboat.com</t>
  </si>
  <si>
    <t>https://www.linkedin.com/in/rampratheek/</t>
  </si>
  <si>
    <t>Prosperity7 Ventures</t>
  </si>
  <si>
    <t>Saudi Arabia</t>
  </si>
  <si>
    <t>https://www.prosperity7vc.com/</t>
  </si>
  <si>
    <t>Abhishek Shukla</t>
  </si>
  <si>
    <t>Managing Director and Head of North America</t>
  </si>
  <si>
    <t>abhishek.shukla@p7vc.com</t>
  </si>
  <si>
    <t>https://www.linkedin.com/in/ashukla1/</t>
  </si>
  <si>
    <t>Steadview Capital</t>
  </si>
  <si>
    <t>UK</t>
  </si>
  <si>
    <t>https://www.steadview.com/</t>
  </si>
  <si>
    <t>Puneet Kumar</t>
  </si>
  <si>
    <t>pkumar@steadview.com</t>
  </si>
  <si>
    <t>https://www.linkedin.com/in/puneetkumarm/</t>
  </si>
  <si>
    <t>Avataar Ventures</t>
  </si>
  <si>
    <t>https://www.avataar.vc/</t>
  </si>
  <si>
    <t>Arjun Vikas</t>
  </si>
  <si>
    <t>Director</t>
  </si>
  <si>
    <t>arjun@avataar.vc</t>
  </si>
  <si>
    <t>https://www.linkedin.com/in/arjun-vikas-84118849/</t>
  </si>
  <si>
    <t>Affirma Capital</t>
  </si>
  <si>
    <t>Singapore</t>
  </si>
  <si>
    <t>https://affirmacapital.com/</t>
  </si>
  <si>
    <t>Ivo Philipps</t>
  </si>
  <si>
    <t>COO/Founding Partner</t>
  </si>
  <si>
    <t>ivo.philipps@affirmacapital.com</t>
  </si>
  <si>
    <t>https://www.linkedin.com/in/ivo-philipps-5a74244/</t>
  </si>
  <si>
    <t>Investcorp</t>
  </si>
  <si>
    <t>Bahrain</t>
  </si>
  <si>
    <t>https://www.investcorp.com/</t>
  </si>
  <si>
    <t>Anshuman Goenka</t>
  </si>
  <si>
    <t>agoenka@investcorp.com</t>
  </si>
  <si>
    <t>https://www.linkedin.com/in/anshuman-goenka-319435/</t>
  </si>
  <si>
    <t>BGF</t>
  </si>
  <si>
    <t>https://www.bgf.co.uk/</t>
  </si>
  <si>
    <t>Pinesh Mehta</t>
  </si>
  <si>
    <t>pinesh.mehta@bgf.co.uk</t>
  </si>
  <si>
    <t>https://www.linkedin.com/in/pinesh-mehta-29448a14/</t>
  </si>
  <si>
    <t>Transom Capital</t>
  </si>
  <si>
    <t>https://transomcap.com/</t>
  </si>
  <si>
    <t>Steve Kim</t>
  </si>
  <si>
    <t>skim@transomcap.com</t>
  </si>
  <si>
    <t>https://www.linkedin.com/in/steve-kim-4194b29/</t>
  </si>
  <si>
    <t>Runtide Capital</t>
  </si>
  <si>
    <t>https://www.runtidecapital.com/</t>
  </si>
  <si>
    <t>Robert Manning</t>
  </si>
  <si>
    <t>rmanning@runtidecapital.com</t>
  </si>
  <si>
    <t>https://www.linkedin.com/in/robert-manning-268203/</t>
  </si>
  <si>
    <t>Great Hill Partners</t>
  </si>
  <si>
    <t>https://www.greathillpartners.com/</t>
  </si>
  <si>
    <t>Atle Skalleberg</t>
  </si>
  <si>
    <t>Growth Partner</t>
  </si>
  <si>
    <t>askalleberg@greathillpartners.com</t>
  </si>
  <si>
    <t>https://www.linkedin.com/in/skalleberg/</t>
  </si>
  <si>
    <t>Petros Partners</t>
  </si>
  <si>
    <t>https://www.petrospartners.com/</t>
  </si>
  <si>
    <t>Mansoor Ghori</t>
  </si>
  <si>
    <t>Board Mamber/Co-Founder/Vice Chairman</t>
  </si>
  <si>
    <t>mansoor@petrospartners.com</t>
  </si>
  <si>
    <t>https://www.linkedin.com/in/mansoor-ghori-14474/</t>
  </si>
  <si>
    <t>Arlington Capital Partners</t>
  </si>
  <si>
    <t>https://arlingtoncap.com/</t>
  </si>
  <si>
    <t>Ben Ramundo</t>
  </si>
  <si>
    <t>bramundo@arlingtoncap.com</t>
  </si>
  <si>
    <t>https://www.linkedin.com/in/benjaminramundo89/</t>
  </si>
  <si>
    <t>La Maison Partners</t>
  </si>
  <si>
    <t>France</t>
  </si>
  <si>
    <t>https://www.lamaisonpartners.fr/en/</t>
  </si>
  <si>
    <t>Long Zhou</t>
  </si>
  <si>
    <t>Investment Director</t>
  </si>
  <si>
    <t>l.zhou@lamaisonpartners.fr</t>
  </si>
  <si>
    <t>https://www.linkedin.com/in/long-zhou-44babb3b/</t>
  </si>
  <si>
    <t>Insight Partners</t>
  </si>
  <si>
    <t>https://www.insightpartners.com/</t>
  </si>
  <si>
    <t>Thilo Semmelbauer</t>
  </si>
  <si>
    <t>tsemmelbauer@insightpartners.com</t>
  </si>
  <si>
    <t>https://www.linkedin.com/in/thilo/</t>
  </si>
  <si>
    <t>Frontenac</t>
  </si>
  <si>
    <t>https://frontenac.com/</t>
  </si>
  <si>
    <t>Walter Florence</t>
  </si>
  <si>
    <t>wflorence@frontenac.com</t>
  </si>
  <si>
    <t>https://www.linkedin.com/in/walterflorence/</t>
  </si>
  <si>
    <t>PSP Partners</t>
  </si>
  <si>
    <t>https://www.psppartners.com/</t>
  </si>
  <si>
    <t>Jon Skinner</t>
  </si>
  <si>
    <t>CEO</t>
  </si>
  <si>
    <t>jskinner@psppartners.com</t>
  </si>
  <si>
    <t>https://www.linkedin.com/in/jon-skinner-50a4422/</t>
  </si>
  <si>
    <t>Newspring Holdings</t>
  </si>
  <si>
    <t>https://newspringcapital.com/</t>
  </si>
  <si>
    <t>Greg Barger</t>
  </si>
  <si>
    <t>General Partner</t>
  </si>
  <si>
    <t>gbarger@newspringcapital.com</t>
  </si>
  <si>
    <t>https://www.linkedin.com/in/greg-barger-172b0617/</t>
  </si>
  <si>
    <t>FFL Group</t>
  </si>
  <si>
    <t>https://fflpartners.com/</t>
  </si>
  <si>
    <t>Chris Harris</t>
  </si>
  <si>
    <t>charris@fflpartners.com</t>
  </si>
  <si>
    <t>https://www.linkedin.com/in/chris-harris-1b730a6/</t>
  </si>
  <si>
    <t>Agellus Capital</t>
  </si>
  <si>
    <t>https://www.agellus.com/</t>
  </si>
  <si>
    <t>Jeff Aiello</t>
  </si>
  <si>
    <t>jaiello@agellus.com</t>
  </si>
  <si>
    <t>https://www.linkedin.com/in/jeffaiello/</t>
  </si>
  <si>
    <t>Virtuvian Partners</t>
  </si>
  <si>
    <t>https://www.vitruvianpartners.com/</t>
  </si>
  <si>
    <t>Joe O'Mara</t>
  </si>
  <si>
    <t>joe.omara@vitruvianpartners.com</t>
  </si>
  <si>
    <t>https://www.linkedin.com/in/joe-o-mara-7822073/</t>
  </si>
  <si>
    <t>HIG Capital</t>
  </si>
  <si>
    <t>https://hig.com/</t>
  </si>
  <si>
    <t>Micael Hagelin</t>
  </si>
  <si>
    <t>mhagelin@higcapital.com</t>
  </si>
  <si>
    <t>https://www.linkedin.com/in/micael-hagelin-a9a85a/</t>
  </si>
  <si>
    <t>Bregal Sagemount</t>
  </si>
  <si>
    <t>https://www.sagemount.com/</t>
  </si>
  <si>
    <t>Michael Kosty</t>
  </si>
  <si>
    <t>Co-founder/Partner</t>
  </si>
  <si>
    <t>michael.kosty@sagemount.com</t>
  </si>
  <si>
    <t>https://www.linkedin.com/in/kostymichael/</t>
  </si>
  <si>
    <t>Iverness Graham</t>
  </si>
  <si>
    <t>https://www.invernessgraham.com/</t>
  </si>
  <si>
    <t>Steve Wood</t>
  </si>
  <si>
    <t>Founder</t>
  </si>
  <si>
    <t>swood@invernessgraham.com</t>
  </si>
  <si>
    <t>https://www.linkedin.com/in/steve-wood-33b1ab16/</t>
  </si>
  <si>
    <t>Court Square</t>
  </si>
  <si>
    <t>https://www.courtsquare.com/</t>
  </si>
  <si>
    <t>Michael Delaney</t>
  </si>
  <si>
    <t>mdelaney@courtsquare.com</t>
  </si>
  <si>
    <t>https://www.linkedin.com/in/michael-delaney-9b185116/</t>
  </si>
  <si>
    <t>Prospect Partners</t>
  </si>
  <si>
    <t>https://prospect-partners.com/</t>
  </si>
  <si>
    <t>Erik Maurer</t>
  </si>
  <si>
    <t>emaurer@prospect-partners.com</t>
  </si>
  <si>
    <t>https://www.linkedin.com/in/erikmaurer/</t>
  </si>
  <si>
    <t>L Squared Capital</t>
  </si>
  <si>
    <t>https://www.lsquaredcap.com/</t>
  </si>
  <si>
    <t>Adam Kimura</t>
  </si>
  <si>
    <t>akimura@lsquaredcap.com</t>
  </si>
  <si>
    <t>https://www.linkedin.com/in/adam-kimura-28319011/</t>
  </si>
  <si>
    <t>Perpetual Capital Partners</t>
  </si>
  <si>
    <t>https://perpetualcapitalpartners.com/</t>
  </si>
  <si>
    <t>Prarie Capital</t>
  </si>
  <si>
    <t>https://www.prairie-capital.com/</t>
  </si>
  <si>
    <t>C. Bryan Daniels</t>
  </si>
  <si>
    <t>Founding Partner</t>
  </si>
  <si>
    <t>bdaniels@prairie-capital.com</t>
  </si>
  <si>
    <t>https://www.linkedin.com/in/c-bryan-daniels-841245127/</t>
  </si>
  <si>
    <t>Oval Partners</t>
  </si>
  <si>
    <t>https://www.ovalpartners.com/</t>
  </si>
  <si>
    <t>John Knoll</t>
  </si>
  <si>
    <t>Co-Founder</t>
  </si>
  <si>
    <t>john@ovalpartners.com</t>
  </si>
  <si>
    <t>https://www.linkedin.com/in/john-knoll-18b0ba1/</t>
  </si>
  <si>
    <t>Atlantic Street Capital</t>
  </si>
  <si>
    <t>https://www.atlanticstreetcapital.com/</t>
  </si>
  <si>
    <t>Baabur Khondker</t>
  </si>
  <si>
    <t>CCO/CFO/COO</t>
  </si>
  <si>
    <t>baabur@atlanticstreetcapital.com</t>
  </si>
  <si>
    <t>https://www.linkedin.com/in/baabur-khondker-3616a75/</t>
  </si>
  <si>
    <t>Seaport Capital</t>
  </si>
  <si>
    <t>https://www.seaportcapital.com/</t>
  </si>
  <si>
    <t>Jim Collis</t>
  </si>
  <si>
    <t>jim@seaportcapital.com</t>
  </si>
  <si>
    <t>https://www.linkedin.com/in/jim-collis/</t>
  </si>
  <si>
    <t>Northwest Equity Partners</t>
  </si>
  <si>
    <t>https://nep.com/</t>
  </si>
  <si>
    <t>Tony Armand</t>
  </si>
  <si>
    <t>tarmand@nep.com</t>
  </si>
  <si>
    <t>https://www.linkedin.com/in/tony-armand-989b9b12/</t>
  </si>
  <si>
    <t>Trinity Hunt Partners</t>
  </si>
  <si>
    <t>https://www.trinityhunt.com/</t>
  </si>
  <si>
    <t>Blake Apel</t>
  </si>
  <si>
    <t>bapel@trinityhunt.com</t>
  </si>
  <si>
    <t>https://www.linkedin.com/in/blake-apel-01855232/</t>
  </si>
  <si>
    <t>SNH Capital Partners</t>
  </si>
  <si>
    <t>https://www.snhcapitalpartners.com/</t>
  </si>
  <si>
    <t>Reddy Karri</t>
  </si>
  <si>
    <t>Sr. Operating Partner</t>
  </si>
  <si>
    <t>rkarri@snhcap.com</t>
  </si>
  <si>
    <t>https://www.linkedin.com/in/reddykarri/</t>
  </si>
  <si>
    <t>HCAP Partners</t>
  </si>
  <si>
    <t>https://www.hcap.com/</t>
  </si>
  <si>
    <t>Frank Mora</t>
  </si>
  <si>
    <t>frank@hcap.com</t>
  </si>
  <si>
    <t>https://www.linkedin.com/in/frank-mora-53115bb/</t>
  </si>
  <si>
    <t>Pfingsten Partners</t>
  </si>
  <si>
    <t>https://pfingsten.com/</t>
  </si>
  <si>
    <t>John Underwood</t>
  </si>
  <si>
    <t>Senior Managing Director</t>
  </si>
  <si>
    <t>junderwood@pfingsten.com</t>
  </si>
  <si>
    <t>https://www.linkedin.com/in/john-underwood-32196054/</t>
  </si>
  <si>
    <t>Stonecourt Capital</t>
  </si>
  <si>
    <t>https://www.stonecourtlp.com/</t>
  </si>
  <si>
    <t>Harry Gillespie</t>
  </si>
  <si>
    <t>Vice President</t>
  </si>
  <si>
    <t>gillespie@stonecourtlp.com</t>
  </si>
  <si>
    <t>https://www.linkedin.com/in/harry-gillespie-b92220aa/</t>
  </si>
  <si>
    <t>Fulcrum IT Partners</t>
  </si>
  <si>
    <t>Canada</t>
  </si>
  <si>
    <t>https://www.fulcrumitp.com/</t>
  </si>
  <si>
    <t>Kyle Lazinger</t>
  </si>
  <si>
    <t>President</t>
  </si>
  <si>
    <t>kyle.lanzinger@fulcrumitp.com</t>
  </si>
  <si>
    <t>JM Financial</t>
  </si>
  <si>
    <t>https://www.jmfl.com/</t>
  </si>
  <si>
    <t>Vinit Rai</t>
  </si>
  <si>
    <t>vinit.rai@jmfl.com</t>
  </si>
  <si>
    <t>https://www.linkedin.com/in/raivinit/</t>
  </si>
  <si>
    <t>Exchange rate as on date</t>
  </si>
  <si>
    <t>Revenue and headcount data taken from Inven unless specified</t>
  </si>
  <si>
    <t>Rationale</t>
  </si>
  <si>
    <t>Revenue from source</t>
  </si>
  <si>
    <t>Rev (INR Cr)</t>
  </si>
  <si>
    <t>Headcount</t>
  </si>
  <si>
    <t>Contact Name</t>
  </si>
  <si>
    <t>Designation</t>
  </si>
  <si>
    <t>Email Id</t>
  </si>
  <si>
    <t>Linkedin</t>
  </si>
  <si>
    <t>Holding company</t>
  </si>
  <si>
    <t>Holding company website link</t>
  </si>
  <si>
    <t>Celebal Technologies</t>
  </si>
  <si>
    <t>Similar services; Indian locations</t>
  </si>
  <si>
    <t>https://celebaltech.com/</t>
  </si>
  <si>
    <t>Anirudh Kala</t>
  </si>
  <si>
    <t>anirudh@celebaltech.com</t>
  </si>
  <si>
    <t>https://www.linkedin.com/in/anirudhkala/</t>
  </si>
  <si>
    <t>Expand Indian presence</t>
  </si>
  <si>
    <t>NxtGen</t>
  </si>
  <si>
    <t>https://nxtgen.com/</t>
  </si>
  <si>
    <t>Rajgopal A S</t>
  </si>
  <si>
    <t>CEO/Managing Director</t>
  </si>
  <si>
    <t>raj@nxtgen.com</t>
  </si>
  <si>
    <t>https://www.linkedin.com/in/rajgopal-as/</t>
  </si>
  <si>
    <t>Accion Labs</t>
  </si>
  <si>
    <t>https://www.accionlabs.com/</t>
  </si>
  <si>
    <t>Kinesh Doshi</t>
  </si>
  <si>
    <t>CEO/Co-Founder</t>
  </si>
  <si>
    <t>kinesh.doshi@accionlabs.com</t>
  </si>
  <si>
    <t>https://www.linkedin.com/in/kinesh-doshi/</t>
  </si>
  <si>
    <t>MorganFranklin Cyber</t>
  </si>
  <si>
    <t>https://mfcyber.com/</t>
  </si>
  <si>
    <t>Peter Schile</t>
  </si>
  <si>
    <t>Co-Founder/President</t>
  </si>
  <si>
    <t>pete.schile@morganfranklin.com</t>
  </si>
  <si>
    <t>https://www.linkedin.com/in/peterschile/</t>
  </si>
  <si>
    <t>Armor Defense</t>
  </si>
  <si>
    <t>https://www.armor.com/</t>
  </si>
  <si>
    <t>Ananya Amin</t>
  </si>
  <si>
    <t>ananya.amin@armor.com</t>
  </si>
  <si>
    <t>https://www.linkedin.com/in/ananyaamin/</t>
  </si>
  <si>
    <t>Centroid Systems</t>
  </si>
  <si>
    <t>https://www.centroid.com/</t>
  </si>
  <si>
    <t>Ken Bowles</t>
  </si>
  <si>
    <t>CFO</t>
  </si>
  <si>
    <t>ken.bowles@centroid.com</t>
  </si>
  <si>
    <t>https://www.linkedin.com/in/kenbowles/</t>
  </si>
  <si>
    <t>Blue Mantis</t>
  </si>
  <si>
    <t>https://www.bluemantis.com/</t>
  </si>
  <si>
    <t>Jason Bernstein</t>
  </si>
  <si>
    <t>jason.bernstein@bluemantis.com</t>
  </si>
  <si>
    <t>https://www.linkedin.com/in/jason-bernstein-71b8136/</t>
  </si>
  <si>
    <t>Buchanan Technologies</t>
  </si>
  <si>
    <t>https://www.buchanan.com/</t>
  </si>
  <si>
    <t>Manish Yadav</t>
  </si>
  <si>
    <t>Senior Vice President</t>
  </si>
  <si>
    <t>myadav@buchanan.com</t>
  </si>
  <si>
    <t>https://www.linkedin.com/in/manish-yadav-736580143/</t>
  </si>
  <si>
    <t>SDG Corporation</t>
  </si>
  <si>
    <t>https://sdgc.com/</t>
  </si>
  <si>
    <t>Ajay Gupta</t>
  </si>
  <si>
    <t>ajay@sdgc.com</t>
  </si>
  <si>
    <t>https://www.linkedin.com/in/ajay-gupta-016846/</t>
  </si>
  <si>
    <t>Thrive</t>
  </si>
  <si>
    <t>Similar services; APAC locations</t>
  </si>
  <si>
    <t>https://thrivenextgen.com/</t>
  </si>
  <si>
    <t>Bill McLaughlin</t>
  </si>
  <si>
    <t>Board Member/CEO</t>
  </si>
  <si>
    <t>bmclaughlin@thrivenetworks.com</t>
  </si>
  <si>
    <t>https://www.linkedin.com/in/billmclaughlinmsp/</t>
  </si>
  <si>
    <t>Expand Asian presence</t>
  </si>
  <si>
    <t>Nuspire</t>
  </si>
  <si>
    <t>Similar services</t>
  </si>
  <si>
    <t>https://security.pditechnologies.com/</t>
  </si>
  <si>
    <t>Dan Hoban</t>
  </si>
  <si>
    <t>Executive Vice President</t>
  </si>
  <si>
    <t>dan.hoban@nuspire.com</t>
  </si>
  <si>
    <t>https://www.linkedin.com/in/danhoban/</t>
  </si>
  <si>
    <t>Offshore/onshore expansion</t>
  </si>
  <si>
    <t>Redhelm</t>
  </si>
  <si>
    <t>https://redhelm.com/</t>
  </si>
  <si>
    <t>James Wilson</t>
  </si>
  <si>
    <t>jwilson@redhelm.com</t>
  </si>
  <si>
    <t>https://www.linkedin.com/in/james-arthur-wilson/</t>
  </si>
  <si>
    <t>Integris</t>
  </si>
  <si>
    <t>https://integrisit.com/</t>
  </si>
  <si>
    <t>Glenn Mathis</t>
  </si>
  <si>
    <t>glenn.mathis@integrisit.com</t>
  </si>
  <si>
    <t>https://www.linkedin.com/in/glennmathis/</t>
  </si>
  <si>
    <t>Ntiva</t>
  </si>
  <si>
    <t>https://www.ntiva.com/</t>
  </si>
  <si>
    <t>Kevin Cook</t>
  </si>
  <si>
    <t>CSO</t>
  </si>
  <si>
    <t>kevin.cook@ntiva.com</t>
  </si>
  <si>
    <t>https://www.linkedin.com/in/kevin-cook-ntiva/</t>
  </si>
  <si>
    <t>Magna5</t>
  </si>
  <si>
    <t>https://www.magna5.com/</t>
  </si>
  <si>
    <t>Robert Farina</t>
  </si>
  <si>
    <t>robert.farina@magna5.com</t>
  </si>
  <si>
    <t>https://www.linkedin.com/in/robert-farina-33065914/</t>
  </si>
  <si>
    <t>https://www.abacusgroupllc.com/</t>
  </si>
  <si>
    <t>Anthony J. D'Ambrosia</t>
  </si>
  <si>
    <t>ajd@abacusgroupllc.com</t>
  </si>
  <si>
    <t>https://www.linkedin.com/in/anthonyjdambrosi/</t>
  </si>
  <si>
    <t>Compass MSP</t>
  </si>
  <si>
    <t>https://compassmsp.com/</t>
  </si>
  <si>
    <t>Michael Rapp</t>
  </si>
  <si>
    <t>mrapp@compassmsp.com</t>
  </si>
  <si>
    <t>https://www.linkedin.com/in/michaelrapp22/</t>
  </si>
  <si>
    <t>Meriplex</t>
  </si>
  <si>
    <t>https://meriplex.com/</t>
  </si>
  <si>
    <t>Garrett Else</t>
  </si>
  <si>
    <t>garrett.else@meriplex.com</t>
  </si>
  <si>
    <t>https://www.linkedin.com/in/garrettelse/</t>
  </si>
  <si>
    <t>Ascend Technologies</t>
  </si>
  <si>
    <t>https://teamascend.com/</t>
  </si>
  <si>
    <t>Amar K. Patel</t>
  </si>
  <si>
    <t>apatel@teamascend.com</t>
  </si>
  <si>
    <t>https://www.linkedin.com/in/amar311/</t>
  </si>
  <si>
    <t>C3 Integrated Solutions</t>
  </si>
  <si>
    <t>https://c3isit.com/</t>
  </si>
  <si>
    <t>Marc Pantoni</t>
  </si>
  <si>
    <t>mpantoni@c3isit.com</t>
  </si>
  <si>
    <t>https://www.linkedin.com/in/marc-pantoni-99961363/</t>
  </si>
  <si>
    <t>Consortium</t>
  </si>
  <si>
    <t>https://consortium.net/</t>
  </si>
  <si>
    <t>Nate Ungerott</t>
  </si>
  <si>
    <t>nate.ungerott@consortium.net</t>
  </si>
  <si>
    <t>https://www.linkedin.com/in/nateungerott/</t>
  </si>
  <si>
    <t>Iron Bow Technologies</t>
  </si>
  <si>
    <t>https://ironbow.com/</t>
  </si>
  <si>
    <t>Rene LaVigne</t>
  </si>
  <si>
    <t>CEO/President</t>
  </si>
  <si>
    <t>rene.lavigne@ironbow.com</t>
  </si>
  <si>
    <t>https://www.linkedin.com/in/rene-lavigne/</t>
  </si>
  <si>
    <t>Trace3</t>
  </si>
  <si>
    <t>https://www.trace3.com/</t>
  </si>
  <si>
    <t>Joe Quaglia</t>
  </si>
  <si>
    <t>joe.quaglia@trace3.com</t>
  </si>
  <si>
    <t>https://www.linkedin.com/in/joequaglia/</t>
  </si>
  <si>
    <t>360 Advanced</t>
  </si>
  <si>
    <t>https://360advanced.com/</t>
  </si>
  <si>
    <t>Gregory Bosl</t>
  </si>
  <si>
    <t>gbosl@360advanced.com</t>
  </si>
  <si>
    <t>https://www.linkedin.com/in/gregorybosl/</t>
  </si>
  <si>
    <t>CyberOne Security</t>
  </si>
  <si>
    <t>https://cyberonesecurity.com/</t>
  </si>
  <si>
    <t>Tera Davis</t>
  </si>
  <si>
    <t>tera@cyberonesecurity.com</t>
  </si>
  <si>
    <t>https://www.linkedin.com/in/tera-davis-42aa0a1/</t>
  </si>
  <si>
    <t>Corsica Technologies</t>
  </si>
  <si>
    <t>https://corsicatech.com/</t>
  </si>
  <si>
    <t>Jennifer Lynn Parmenter</t>
  </si>
  <si>
    <t>jparmenter@corsicatech.com</t>
  </si>
  <si>
    <t>https://www.linkedin.com/in/jennifer-lynn-parmenter-cma-52a75b13/</t>
  </si>
  <si>
    <t>Entech</t>
  </si>
  <si>
    <t>https://www.entechus.com/</t>
  </si>
  <si>
    <t>Buddy Martin</t>
  </si>
  <si>
    <t>buddy@entechus.com</t>
  </si>
  <si>
    <t>https://www.linkedin.com/in/buddymartin/</t>
  </si>
  <si>
    <t>Netrio</t>
  </si>
  <si>
    <t>https://www.netrio.com/</t>
  </si>
  <si>
    <t>Mark Clayman</t>
  </si>
  <si>
    <t>mark.clayman@netrio.com</t>
  </si>
  <si>
    <t>https://www.linkedin.com/in/mark-clayman-70b55/</t>
  </si>
  <si>
    <t>Novatech</t>
  </si>
  <si>
    <t>https://novatech.net/</t>
  </si>
  <si>
    <t>Jeff Hoctor</t>
  </si>
  <si>
    <t>jhoctor@novatech.net</t>
  </si>
  <si>
    <t>https://www.linkedin.com/in/jeff-hoctor-cpa-b8b17a3/</t>
  </si>
  <si>
    <t>New Charter Technolgies</t>
  </si>
  <si>
    <t>https://www.newchartertech.com/</t>
  </si>
  <si>
    <t>Peter Melby</t>
  </si>
  <si>
    <t>peter@newchartertech.com</t>
  </si>
  <si>
    <t>https://www.linkedin.com/in/petermelby/</t>
  </si>
  <si>
    <t>CyberGuard Advantage</t>
  </si>
  <si>
    <t>https://www.cgcompliance.com/</t>
  </si>
  <si>
    <t>Jim Jimenez</t>
  </si>
  <si>
    <t>jim.jimenez@cgcompliance.com</t>
  </si>
  <si>
    <t>https://www.linkedin.com/in/jim-jimenez-cpa-4b7a1ab/</t>
  </si>
  <si>
    <t>CyberlinkASP</t>
  </si>
  <si>
    <t>https://cyberlinkasp.com/</t>
  </si>
  <si>
    <t>Kevin McGahey</t>
  </si>
  <si>
    <t>kevin.mcgahey@cybasp.com</t>
  </si>
  <si>
    <t>https://www.linkedin.com/in/kevinmcgahey/</t>
  </si>
  <si>
    <t>Coretelligent</t>
  </si>
  <si>
    <t>Vijay Iyer</t>
  </si>
  <si>
    <t>viyer@core.tech</t>
  </si>
  <si>
    <t>https://www.linkedin.com/in/vijay1balasubramanian/</t>
  </si>
  <si>
    <t>Dataprise</t>
  </si>
  <si>
    <t>N/A</t>
  </si>
  <si>
    <t>https://www.dataprise.com/</t>
  </si>
  <si>
    <t>Siobhan de Leeuw</t>
  </si>
  <si>
    <t>siobhan.deleeuw@dataprise.com</t>
  </si>
  <si>
    <t>https://www.linkedin.com/in/siobhan-de-leeuw-97234a4/</t>
  </si>
  <si>
    <t>Five Nines</t>
  </si>
  <si>
    <t>https://fivenines.com/</t>
  </si>
  <si>
    <t>Joel Friesen</t>
  </si>
  <si>
    <t>joel@gonines.com</t>
  </si>
  <si>
    <t>https://www.linkedin.com/in/joel-friesen-9199a7a/</t>
  </si>
  <si>
    <t>Lumify</t>
  </si>
  <si>
    <t>https://www.lumificyber.com/</t>
  </si>
  <si>
    <t>Michael Blain</t>
  </si>
  <si>
    <t>michael@lumificyber.com</t>
  </si>
  <si>
    <t>https://www.linkedin.com/in/michael-blain-mba/</t>
  </si>
  <si>
    <t>NexusTek</t>
  </si>
  <si>
    <t>https://www.nexustek.com/</t>
  </si>
  <si>
    <t>Hamilton Yu</t>
  </si>
  <si>
    <t>hamilton.yu@nexustek.com</t>
  </si>
  <si>
    <t>https://www.linkedin.com/in/hamiltonyu/</t>
  </si>
  <si>
    <t>Omega Systems</t>
  </si>
  <si>
    <t>https://omegasystemscorp.com/</t>
  </si>
  <si>
    <t>Mike Fuhrman</t>
  </si>
  <si>
    <t>mfuhrman@omegasystemscorp.com</t>
  </si>
  <si>
    <t>https://www.linkedin.com/in/mfuhrman/</t>
  </si>
  <si>
    <t>Security Risk Advisors</t>
  </si>
  <si>
    <t>https://sra.io/</t>
  </si>
  <si>
    <t>Tim Wainwright</t>
  </si>
  <si>
    <t>tim.wainwright@sra.io</t>
  </si>
  <si>
    <t>https://www.linkedin.com/in/tim-wainwright-87a4a51/</t>
  </si>
  <si>
    <t>365 Data Centres</t>
  </si>
  <si>
    <t>https://365datacenters.com/</t>
  </si>
  <si>
    <t>Steven Amelio</t>
  </si>
  <si>
    <t>samelio@365datacenters.com</t>
  </si>
  <si>
    <t>https://www.linkedin.com/in/steven-amelio-70788b6/</t>
  </si>
  <si>
    <t>Advizex</t>
  </si>
  <si>
    <t>https://www.advizex.com/</t>
  </si>
  <si>
    <t>C.R. Howdyshell</t>
  </si>
  <si>
    <t>chowdyshell@advizex.com</t>
  </si>
  <si>
    <t>https://www.linkedin.com/in/c-r-howdyshell-2966ba1/</t>
  </si>
  <si>
    <t>Fulcrum IT partners</t>
  </si>
  <si>
    <t>Fortress Security Risk Management</t>
  </si>
  <si>
    <t>https://fortresssrm.com/</t>
  </si>
  <si>
    <t>Jess Walpole</t>
  </si>
  <si>
    <t>jwalpole@fortresssrm.com</t>
  </si>
  <si>
    <t>https://www.linkedin.com/in/jesswalpole/</t>
  </si>
  <si>
    <t>Blue Alliance</t>
  </si>
  <si>
    <t>MSP holding company</t>
  </si>
  <si>
    <t>https://www.bluealliance.com/</t>
  </si>
  <si>
    <t>Nick Recker</t>
  </si>
  <si>
    <t>CEO/Founder</t>
  </si>
  <si>
    <t>nick.recker@bluealliance.com</t>
  </si>
  <si>
    <t>https://www.linkedin.com/in/nickrecker/</t>
  </si>
  <si>
    <t>Velosio</t>
  </si>
  <si>
    <t>Diversified but offers similar services</t>
  </si>
  <si>
    <t>https://www.velosio.com/</t>
  </si>
  <si>
    <t>Robbie Morrison</t>
  </si>
  <si>
    <t>rmorrison@velosio.com</t>
  </si>
  <si>
    <t>https://www.linkedin.com/in/robbiemorrison/</t>
  </si>
  <si>
    <t>I-Tracing</t>
  </si>
  <si>
    <t>https://i-tracing.com/</t>
  </si>
  <si>
    <t>Benjamin Leclerc</t>
  </si>
  <si>
    <t>Group CFO</t>
  </si>
  <si>
    <t>bleclerc@i-tracing.com</t>
  </si>
  <si>
    <t>https://www.linkedin.com/in/benjamin-leclerc-07928b54/</t>
  </si>
  <si>
    <t>Next set of emails due in (days)</t>
  </si>
  <si>
    <t>Count</t>
  </si>
  <si>
    <t>Check</t>
  </si>
  <si>
    <t>Company name</t>
  </si>
  <si>
    <t>Check to previous page</t>
  </si>
  <si>
    <t>Regarding</t>
  </si>
  <si>
    <t>Initial date</t>
  </si>
  <si>
    <t>Bi-weekly follow up</t>
  </si>
  <si>
    <t>Follow ups (in days)</t>
  </si>
  <si>
    <t>Remaining private equity buyers - 22by7</t>
  </si>
  <si>
    <t>S.No.</t>
  </si>
  <si>
    <t>Website</t>
  </si>
  <si>
    <t>Notes</t>
  </si>
  <si>
    <t>United States</t>
  </si>
  <si>
    <t>Relevant investments like Redington</t>
  </si>
  <si>
    <t>No direct investments but notable ones like Acko and Big Basket</t>
  </si>
  <si>
    <t>No directly relevant investments; Safe (cybersecurity platform) scaled internationally</t>
  </si>
  <si>
    <t>UK based but highly relevant investments</t>
  </si>
  <si>
    <t>No direct investments but notable ones like Onward Technologies in software and Thomas Cook (India)</t>
  </si>
  <si>
    <t>No direct investments but notable ones like Fractal Analytics in software and Avendus</t>
  </si>
  <si>
    <t>Numerous prior relevant investments</t>
  </si>
  <si>
    <t>Mid-market investments is India as well as Europe and the USA</t>
  </si>
  <si>
    <t>No directly relevant investments; Impetus and Neurealm (cybersecurity platform) - scaled internationally</t>
  </si>
  <si>
    <t>No direct investments but notable investments in software with potential to scale abroad</t>
  </si>
  <si>
    <t>No direct investments but notable ones like First Meridian and SMS</t>
  </si>
  <si>
    <t>No direct investments but notable ones like Ozonotel (software) - scaled internationally</t>
  </si>
  <si>
    <t>No directly relevant investments; Invests in leading businesses and Indian brands (Mindtree, Cognizant, etc.) - scaling internationally</t>
  </si>
  <si>
    <t>Repetitions</t>
  </si>
  <si>
    <t>Total</t>
  </si>
  <si>
    <t>Private equity buyers - 22by7</t>
  </si>
  <si>
    <t>Cheque size</t>
  </si>
  <si>
    <t>Porfolio companies</t>
  </si>
  <si>
    <t>Deal rationale</t>
  </si>
  <si>
    <t>Next Follow-up Date</t>
  </si>
  <si>
    <t>N/A / mid market</t>
  </si>
  <si>
    <t>Accion labs, iLink Digital</t>
  </si>
  <si>
    <t>Relevent prior investments seem to be large in size in comparison the 22by7; prior investments have taken a stance in the US</t>
  </si>
  <si>
    <t>$50m - $2b (Advent Tech II Fund)</t>
  </si>
  <si>
    <t>Tredence</t>
  </si>
  <si>
    <t>Relevant prior invrstments, however ticket sizes may be seen as too large</t>
  </si>
  <si>
    <t>Impetus, Neurealm</t>
  </si>
  <si>
    <t>Safe, Whatfix</t>
  </si>
  <si>
    <t>From precedent transactions</t>
  </si>
  <si>
    <t>Onward Technologies</t>
  </si>
  <si>
    <t>HIGHLY RELEVANT; From precedent transactions</t>
  </si>
  <si>
    <t>Increff, Lambda Test</t>
  </si>
  <si>
    <t>Close investments in businesses that utlise cloud services</t>
  </si>
  <si>
    <t>Kaseya</t>
  </si>
  <si>
    <t>Relevant prior investments, however, none that are relevant in India; Indian investments include Apna and BhartPe; portfolio companies may be too large in comparision to 22by7</t>
  </si>
  <si>
    <t>Iron Mountain</t>
  </si>
  <si>
    <t>$50m-$150m</t>
  </si>
  <si>
    <t>Ideal Integrations</t>
  </si>
  <si>
    <t>Relevant prior investments, however criteria includes North America based - can fund 22by7 for acquisitions in North America</t>
  </si>
  <si>
    <t>Emailed</t>
  </si>
  <si>
    <t>Relevant prior investments, however, none in India; mentions that the PE is an international investment firm so potential to invest in 22by7</t>
  </si>
  <si>
    <t>$1m-$10m EBITDA</t>
  </si>
  <si>
    <t>Relevant prior investments, however, none in India; might be interested to invest in 22by7 if it plans on acquiring US based companies</t>
  </si>
  <si>
    <t>Abacus Group</t>
  </si>
  <si>
    <t>From precedent transactions as they mention that they invest in tech enabled businesses</t>
  </si>
  <si>
    <t>NA</t>
  </si>
  <si>
    <t>$2m-$25m EBITDA</t>
  </si>
  <si>
    <t>Hinduja Tech, IVALUE</t>
  </si>
  <si>
    <t>From precedent transactions; have invested in many Indian companies</t>
  </si>
  <si>
    <t>KMS Technology</t>
  </si>
  <si>
    <t>Xoriant</t>
  </si>
  <si>
    <t>Although they probably invest in large ticket sizes, they have relevant prior Indian investments which have scaled in the US (Xoriant)</t>
  </si>
  <si>
    <t>Inflow Group</t>
  </si>
  <si>
    <t>Although they probably invest in large ticket sizes, they have relevant prior investments which have scaled in the US and have offices in India</t>
  </si>
  <si>
    <t>From Precedent transactions</t>
  </si>
  <si>
    <t>ECI</t>
  </si>
  <si>
    <t>From precent transactions and they also have an office in Asia and strong presence in the Americas - might be willing to back 22by7</t>
  </si>
  <si>
    <t>$20m-$400m</t>
  </si>
  <si>
    <t>Congruity 360</t>
  </si>
  <si>
    <t>From precedent transactions and have a stong American presence</t>
  </si>
  <si>
    <t>Software Combined</t>
  </si>
  <si>
    <t>From precedent transactions; strong Asian presence; Indian investments</t>
  </si>
  <si>
    <t>Skanray</t>
  </si>
  <si>
    <t>Although limited portfolio companies and unrelated precedent transactions, has a presence in India and potential to scale internationally</t>
  </si>
  <si>
    <t>Fractal Analytics</t>
  </si>
  <si>
    <t>Infotech</t>
  </si>
  <si>
    <t>Although ticket sizes may be large, seen to be investing in technology services and scaling internationally</t>
  </si>
  <si>
    <t>Although ticket sizes may be large, there are relevant Indian investments, offices worldwide (including India) - potential to scale internationally</t>
  </si>
  <si>
    <t>Ferfier Technologies</t>
  </si>
  <si>
    <t>Although no directly relevant investments - still cloud based - potential to scale internationally</t>
  </si>
  <si>
    <t>HIGHLY RELEVANT - revelvant portfolio companies (including an Indian name) - seems to have worldwide presence, potential to scale internationally</t>
  </si>
  <si>
    <t>Appomni</t>
  </si>
  <si>
    <t>Although it’s a VC, backed by Aramco and has multiple investments in cloud/cybersecurity related companies; deep Asian expertise</t>
  </si>
  <si>
    <t>Innovaccer</t>
  </si>
  <si>
    <t>Although no directly relevant investments - still cloud based - potential to scale internationally as they specifally mention they partner with founders in India and the US who want to scale</t>
  </si>
  <si>
    <t>Safe Securities</t>
  </si>
  <si>
    <t>Although seems to be for early growth ventures (VCs), potential to invest due to relevant prior investments</t>
  </si>
  <si>
    <t>Metanet Group</t>
  </si>
  <si>
    <t>Global footprint, with offices in India; relevant investments</t>
  </si>
  <si>
    <t>N/A/mid market</t>
  </si>
  <si>
    <t>Calligo</t>
  </si>
  <si>
    <t>Global footprint with expertise in America, relevant portfolio companies and offices in India</t>
  </si>
  <si>
    <t>Timotheus Osnabrug</t>
  </si>
  <si>
    <t>tosnabrug@investcorp.com</t>
  </si>
  <si>
    <t>https://www.linkedin.com/in/timotheus-osnabrug-786b7a65/</t>
  </si>
  <si>
    <t>Adept4plc</t>
  </si>
  <si>
    <t>Global footprint with expertise in America, relevant portfolio companies</t>
  </si>
  <si>
    <t>$40m-$80m</t>
  </si>
  <si>
    <t>$75m-350m equity</t>
  </si>
  <si>
    <t>Tredence, Thrive</t>
  </si>
  <si>
    <t>Secure-Serv</t>
  </si>
  <si>
    <t>$15m-$35m investments but can do larger</t>
  </si>
  <si>
    <t>ATSG</t>
  </si>
  <si>
    <t>$15m-$100m revenue, $3m-$10m EBITDA</t>
  </si>
  <si>
    <t>Entech US</t>
  </si>
  <si>
    <t>From precedent transactions, mentions should be US located</t>
  </si>
  <si>
    <t>$15m-$100m revenue, $3m-$25m EBITDA</t>
  </si>
  <si>
    <t>From related precedent transactions, mentions should be US located</t>
  </si>
  <si>
    <t>Upto $250m investments</t>
  </si>
  <si>
    <t>Not found</t>
  </si>
  <si>
    <t>Blue Alliance IT</t>
  </si>
  <si>
    <t>$5m-$20m revenue, $5m-$30m EBITDA</t>
  </si>
  <si>
    <t>Armor</t>
  </si>
  <si>
    <t>$10m EBITDA</t>
  </si>
  <si>
    <t>New Charter Technologies</t>
  </si>
  <si>
    <t>$15-$75m investments</t>
  </si>
  <si>
    <t>Cyberguard Compliance</t>
  </si>
  <si>
    <t>From related precedent transactions, mentions should be US/Canada located</t>
  </si>
  <si>
    <t>$10m-$40m investments</t>
  </si>
  <si>
    <t>Atmosera</t>
  </si>
  <si>
    <t>From related precedent transactions</t>
  </si>
  <si>
    <t>$70m-$175m investments</t>
  </si>
  <si>
    <t>Adam Garcia Eveloff</t>
  </si>
  <si>
    <t>aeveloff@nep.com</t>
  </si>
  <si>
    <t>https://www.linkedin.com/in/adam-garcia-eveloff-a28b5511/</t>
  </si>
  <si>
    <t>$3m-$15m EBITDA</t>
  </si>
  <si>
    <t>Centroid</t>
  </si>
  <si>
    <t>$15m-$70m investments</t>
  </si>
  <si>
    <t>Upto $75m EBITDA</t>
  </si>
  <si>
    <t>$5m-$35m investments</t>
  </si>
  <si>
    <t>$100m-$750m</t>
  </si>
  <si>
    <t>Symmetry</t>
  </si>
  <si>
    <t>Claranet</t>
  </si>
  <si>
    <t xml:space="preserve">From related precedent transactions, invests cross-border </t>
  </si>
  <si>
    <t>Conor Mullet</t>
  </si>
  <si>
    <t>$15m-$100m investments</t>
  </si>
  <si>
    <t>From related precedent transactions, mentions platform investments should be US located and add-ons of any size and location</t>
  </si>
  <si>
    <t>$5m-$50m EBITDA</t>
  </si>
  <si>
    <t>AST</t>
  </si>
  <si>
    <t>SignalTree Solutions</t>
  </si>
  <si>
    <t>Aditya Sharma</t>
  </si>
  <si>
    <t>https://www.linkedin.com/in/aditya-sharma-ba8ab321/</t>
  </si>
  <si>
    <t>asharma@ta.com</t>
  </si>
  <si>
    <t>TA Associates</t>
  </si>
  <si>
    <t>https://www.ta.com/</t>
  </si>
  <si>
    <t>Foreign PE with potfolio companies having Indian offices</t>
  </si>
  <si>
    <t>muthu@recognize.com</t>
  </si>
  <si>
    <t>Head of India Operations/Operating Partner</t>
  </si>
  <si>
    <t>Muthu Kumaran</t>
  </si>
  <si>
    <t>https://www.linkedin.com/in/muthu-kumaran-a616a616/</t>
  </si>
  <si>
    <t>Bay Capital</t>
  </si>
  <si>
    <t>sid@bay-cap.com</t>
  </si>
  <si>
    <t>https://bay-cap.com/</t>
  </si>
  <si>
    <t>Siddharth Mehta</t>
  </si>
  <si>
    <t>https://www.linkedin.com/in/siddharth-mehta-baycap/</t>
  </si>
  <si>
    <t>Barings Private Equity Partners India</t>
  </si>
  <si>
    <t>Varun Batra</t>
  </si>
  <si>
    <t>varun.batra@bpepindia.com</t>
  </si>
  <si>
    <t>https://www.linkedin.com/in/varun-batra-2b699833/</t>
  </si>
  <si>
    <t>https://www.bpepindia.com/</t>
  </si>
  <si>
    <t>Gulf Capital</t>
  </si>
  <si>
    <t>Abu Dhabi</t>
  </si>
  <si>
    <t>mmadani@gulfcapital.com</t>
  </si>
  <si>
    <t>Mohammad Madani</t>
  </si>
  <si>
    <t>https://www.gulfcapital.com/</t>
  </si>
  <si>
    <t>Version 1</t>
  </si>
  <si>
    <t>Ireland</t>
  </si>
  <si>
    <t>Partners Group</t>
  </si>
  <si>
    <t>https://www.partnersgroup.com/</t>
  </si>
  <si>
    <t>Switzerland</t>
  </si>
  <si>
    <t>vageesh.gupta@partnersgroup.com</t>
  </si>
  <si>
    <t>Vageesh Gupta</t>
  </si>
  <si>
    <t>https://www.linkedin.com/in/vageesh-gupta-a63909a/</t>
  </si>
  <si>
    <t>https://www.linkedin.com/in/mohammad-madani-2a47bb9/</t>
  </si>
  <si>
    <t>https://www.partnersgroup.com/en</t>
  </si>
  <si>
    <t>patrick.cooney@version1.com</t>
  </si>
  <si>
    <t>Patrick Cooney</t>
  </si>
  <si>
    <t>https://www.linkedin.com/in/cooneypatrick/</t>
  </si>
  <si>
    <t>https://www.version1.com/</t>
  </si>
  <si>
    <t>Ensono</t>
  </si>
  <si>
    <t>https://www.ensono.com/</t>
  </si>
  <si>
    <t>KKR</t>
  </si>
  <si>
    <t>https://www.kkr.com/</t>
  </si>
  <si>
    <t>Veena Khandke</t>
  </si>
  <si>
    <t>veena.khandke@ensono.com</t>
  </si>
  <si>
    <t>https://www.linkedin.com/in/veenakhandke/</t>
  </si>
  <si>
    <t>India managing director/SVP</t>
  </si>
  <si>
    <t>First Meridian</t>
  </si>
  <si>
    <t>Satish Srinivasan</t>
  </si>
  <si>
    <t>satish.srinivasan@firstmeridian.com</t>
  </si>
  <si>
    <t>https://www.linkedin.com/in/satish-srinivasan-9792849b/</t>
  </si>
  <si>
    <t>Joy Bhakat</t>
  </si>
  <si>
    <t>Co-Founder/Head of Investments</t>
  </si>
  <si>
    <t>jbhakat@steadview.com</t>
  </si>
  <si>
    <t>https://www.linkedin.com/in/joy-bhakat-35895845/</t>
  </si>
  <si>
    <t>Got response from PE</t>
  </si>
  <si>
    <t>Staffing; Indian locations</t>
  </si>
  <si>
    <t>https://firstmeridian.com/</t>
  </si>
  <si>
    <t>Sutherland Global</t>
  </si>
  <si>
    <t>https://www.sutherlandglobal.com/</t>
  </si>
  <si>
    <t>RMSI</t>
  </si>
  <si>
    <t>https://www.rmsi.com/</t>
  </si>
  <si>
    <t>https://www.multiplesequity.com/</t>
  </si>
  <si>
    <t>Strateq Group Of Companies</t>
  </si>
  <si>
    <t>Malaysia</t>
  </si>
  <si>
    <t>https://strateqgroup.com/home/</t>
  </si>
  <si>
    <t>Abacus Group LLC</t>
  </si>
  <si>
    <t>Vidur Khatri</t>
  </si>
  <si>
    <t>vkhatri@abry.com</t>
  </si>
  <si>
    <t>Principal</t>
  </si>
  <si>
    <t>https://www.linkedin.com/in/vidur-khatri-52aa0946/</t>
  </si>
  <si>
    <t>Jim Lusk</t>
  </si>
  <si>
    <t>CFO/Executive VP</t>
  </si>
  <si>
    <t>jim.lusk@sutherlandglobal.com</t>
  </si>
  <si>
    <t>https://www.linkedin.com/in/jim-lusk/</t>
  </si>
  <si>
    <t>Rajesh Mohan Chatterjee</t>
  </si>
  <si>
    <t>Head of Finance/VP</t>
  </si>
  <si>
    <t>rajesh.chatterjee@sutherlandglobal.com</t>
  </si>
  <si>
    <t>https://www.linkedin.com/in/rajesh-mohan-chatterjee-5ba2bb5/</t>
  </si>
  <si>
    <t>Navneet Gupta</t>
  </si>
  <si>
    <t>CFO/VP</t>
  </si>
  <si>
    <t>navneet.gupta@rmsi.com</t>
  </si>
  <si>
    <t>https://www.linkedin.com/in/navneet-gupta-ca/</t>
  </si>
  <si>
    <t>Tan Soo Li</t>
  </si>
  <si>
    <t>Head of Finance</t>
  </si>
  <si>
    <t>tansooli@strateqgroup.com</t>
  </si>
  <si>
    <t>https://www.linkedin.com/in/tan-soo-li-19b736a/</t>
  </si>
  <si>
    <t>mehul.agarwal@multiplesequity.com</t>
  </si>
  <si>
    <t>https://www.linkedin.com/in/mehul-agarwal-8a231391/</t>
  </si>
  <si>
    <t>Multiples Private Equity</t>
  </si>
  <si>
    <t>Associate VP</t>
  </si>
  <si>
    <t>Mehul Agarwal</t>
  </si>
  <si>
    <t>PE</t>
  </si>
  <si>
    <t>PE porfolio</t>
  </si>
  <si>
    <t>Ongoing</t>
  </si>
  <si>
    <t>Response rate</t>
  </si>
  <si>
    <t>Peter Huang</t>
  </si>
  <si>
    <t>phuang@atlanticstreetcapital.com</t>
  </si>
  <si>
    <t>https://www.linkedin.com/in/peter-david-huang/</t>
  </si>
  <si>
    <t>Security HQ</t>
  </si>
  <si>
    <t>https://www.securityhq.com/</t>
  </si>
  <si>
    <t>Growth Capital Partners</t>
  </si>
  <si>
    <t>https://www.growthcapital.co.uk/</t>
  </si>
  <si>
    <t>Vishnu got response</t>
  </si>
  <si>
    <t>info@perpetualcap.com</t>
  </si>
  <si>
    <t>FFL Partners</t>
  </si>
  <si>
    <t>kumar.subramaniam@straive.com</t>
  </si>
  <si>
    <t>Straive</t>
  </si>
  <si>
    <t>https://www.straive.com/</t>
  </si>
  <si>
    <t>Kumar Subramaniam</t>
  </si>
  <si>
    <t>Chief Risk Officer</t>
  </si>
  <si>
    <t>https://www.linkedin.com/in/kumarsb/</t>
  </si>
  <si>
    <t>EQT</t>
  </si>
  <si>
    <t>https://eqtgroup.com/eqt-private-capital-asia</t>
  </si>
  <si>
    <t>Apax</t>
  </si>
  <si>
    <t>https://www.apax.com/</t>
  </si>
  <si>
    <t>Thoughtworks</t>
  </si>
  <si>
    <t>https://www.thoughtworks.com/</t>
  </si>
  <si>
    <t>Cyderes</t>
  </si>
  <si>
    <t>https://www.cyderes.com/</t>
  </si>
  <si>
    <t>https://www.infogain.com/</t>
  </si>
  <si>
    <t>https://www.globallogic.com/</t>
  </si>
  <si>
    <t>Global Logic</t>
  </si>
  <si>
    <t>Infogain</t>
  </si>
  <si>
    <t>Park Place Technologies</t>
  </si>
  <si>
    <t>https://www.parkplacetechnologies.com/</t>
  </si>
  <si>
    <t>Warburg Pincus</t>
  </si>
  <si>
    <t>https://warburgpincus.com/</t>
  </si>
  <si>
    <t>Service express</t>
  </si>
  <si>
    <t>https://serviceexpress.com/</t>
  </si>
  <si>
    <t>Sanket Khanolkar</t>
  </si>
  <si>
    <t>CPO/APAC SVP</t>
  </si>
  <si>
    <t>sanket@securityhq.com</t>
  </si>
  <si>
    <t>https://www.linkedin.com/in/sanket-khanolkar-0705b221/</t>
  </si>
  <si>
    <t>Erin Cummins</t>
  </si>
  <si>
    <t>ecummins@thoughtworks.com</t>
  </si>
  <si>
    <t>https://www.linkedin.com/in/erin-cummins-77429547/</t>
  </si>
  <si>
    <t>Kulesh Bansal</t>
  </si>
  <si>
    <t>kulesh.bansal@infogain.com</t>
  </si>
  <si>
    <t>https://www.linkedin.com/in/kulesh-bansal-11158611/</t>
  </si>
  <si>
    <t>Nathan Brady</t>
  </si>
  <si>
    <t>nate.brady@cyderes.com</t>
  </si>
  <si>
    <t>https://www.linkedin.com/in/brady-nate/</t>
  </si>
  <si>
    <t>vaibhav.sharma14@globallogic.com</t>
  </si>
  <si>
    <t>https://www.linkedin.com/in/linkvaibhavsharma/</t>
  </si>
  <si>
    <t>Vaibhav Sharma</t>
  </si>
  <si>
    <t>kgreene@parkplacetech.com</t>
  </si>
  <si>
    <t>Kelly Greene</t>
  </si>
  <si>
    <t>VP Corporate Development</t>
  </si>
  <si>
    <t>https://www.linkedin.com/in/kelisegreene/</t>
  </si>
  <si>
    <t>Julie Ausherman</t>
  </si>
  <si>
    <t>jausherman@serviceexpress.com</t>
  </si>
  <si>
    <t>https://www.linkedin.com/in/julie-ausherman-4234772/</t>
  </si>
  <si>
    <t>Harjot Dhaliwal</t>
  </si>
  <si>
    <t>Partner - India Head</t>
  </si>
  <si>
    <t>harjot.dhaliwal@apax.com</t>
  </si>
  <si>
    <t>https://www.linkedin.com/in/harjot-dhaliwal-691a6517/</t>
  </si>
  <si>
    <t>Vishnu reached out</t>
  </si>
  <si>
    <t>https://www.coretelligent.com/</t>
  </si>
  <si>
    <t xml:space="preserve">  </t>
  </si>
  <si>
    <t>In2IT Technologies</t>
  </si>
  <si>
    <t>https://www.in2ittech.com/</t>
  </si>
  <si>
    <t>NewGX Capital Group</t>
  </si>
  <si>
    <t>https://newgx.co.za/</t>
  </si>
  <si>
    <t>Vishal Barapatre</t>
  </si>
  <si>
    <t>Group CTO</t>
  </si>
  <si>
    <t>vishal@in2ittech.com</t>
  </si>
  <si>
    <t>https://www.linkedin.com/in/vishal-barapatre/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</si>
</sst>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i/>
      <sz val="9"/>
      <color rgb="FFFF0000"/>
      <name val="Calibri"/>
      <family val="2"/>
    </font>
    <font>
      <sz val="8"/>
      <name val="Calibri"/>
      <family val="2"/>
    </font>
    <font>
      <i/>
      <sz val="9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5" fillId="3" borderId="3" xfId="0" applyFont="1" applyFill="1" applyBorder="1" applyAlignment="1">
      <alignment horizontal="center"/>
    </xf>
    <xf numFmtId="0" fontId="5" fillId="3" borderId="2" xfId="0" applyFont="1" applyFill="1" applyBorder="1"/>
    <xf numFmtId="0" fontId="5" fillId="3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right"/>
    </xf>
    <xf numFmtId="0" fontId="5" fillId="2" borderId="0" xfId="0" applyFont="1" applyFill="1" applyAlignment="1">
      <alignment horizontal="center"/>
    </xf>
    <xf numFmtId="165" fontId="4" fillId="2" borderId="0" xfId="1" applyNumberFormat="1" applyFont="1" applyFill="1"/>
    <xf numFmtId="165" fontId="5" fillId="2" borderId="0" xfId="0" applyNumberFormat="1" applyFont="1" applyFill="1"/>
    <xf numFmtId="0" fontId="4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/>
    <xf numFmtId="0" fontId="5" fillId="2" borderId="0" xfId="2" applyFont="1" applyFill="1"/>
    <xf numFmtId="0" fontId="4" fillId="2" borderId="0" xfId="2" applyFont="1" applyFill="1"/>
    <xf numFmtId="14" fontId="4" fillId="2" borderId="0" xfId="2" applyNumberFormat="1" applyFont="1" applyFill="1"/>
    <xf numFmtId="0" fontId="6" fillId="2" borderId="0" xfId="2" applyFont="1" applyFill="1"/>
    <xf numFmtId="0" fontId="5" fillId="2" borderId="5" xfId="2" applyFont="1" applyFill="1" applyBorder="1" applyAlignment="1">
      <alignment horizontal="center"/>
    </xf>
    <xf numFmtId="0" fontId="5" fillId="2" borderId="6" xfId="2" applyFont="1" applyFill="1" applyBorder="1" applyAlignment="1">
      <alignment horizontal="center"/>
    </xf>
    <xf numFmtId="14" fontId="5" fillId="2" borderId="6" xfId="2" applyNumberFormat="1" applyFont="1" applyFill="1" applyBorder="1" applyAlignment="1">
      <alignment horizontal="center"/>
    </xf>
    <xf numFmtId="0" fontId="5" fillId="2" borderId="5" xfId="2" applyFont="1" applyFill="1" applyBorder="1" applyAlignment="1">
      <alignment horizontal="centerContinuous"/>
    </xf>
    <xf numFmtId="0" fontId="4" fillId="2" borderId="6" xfId="2" applyFont="1" applyFill="1" applyBorder="1" applyAlignment="1">
      <alignment horizontal="centerContinuous"/>
    </xf>
    <xf numFmtId="0" fontId="4" fillId="2" borderId="7" xfId="2" applyFont="1" applyFill="1" applyBorder="1" applyAlignment="1">
      <alignment horizontal="centerContinuous"/>
    </xf>
    <xf numFmtId="0" fontId="4" fillId="2" borderId="2" xfId="2" applyFont="1" applyFill="1" applyBorder="1"/>
    <xf numFmtId="0" fontId="4" fillId="2" borderId="3" xfId="2" applyFont="1" applyFill="1" applyBorder="1"/>
    <xf numFmtId="0" fontId="4" fillId="2" borderId="0" xfId="0" applyFont="1" applyFill="1" applyAlignment="1">
      <alignment horizontal="right"/>
    </xf>
    <xf numFmtId="14" fontId="4" fillId="2" borderId="4" xfId="0" applyNumberFormat="1" applyFont="1" applyFill="1" applyBorder="1"/>
    <xf numFmtId="164" fontId="4" fillId="2" borderId="4" xfId="1" applyFont="1" applyFill="1" applyBorder="1" applyAlignment="1">
      <alignment horizontal="right"/>
    </xf>
    <xf numFmtId="165" fontId="4" fillId="2" borderId="4" xfId="1" applyNumberFormat="1" applyFont="1" applyFill="1" applyBorder="1" applyAlignment="1">
      <alignment horizontal="right"/>
    </xf>
    <xf numFmtId="0" fontId="4" fillId="0" borderId="0" xfId="0" applyFont="1"/>
    <xf numFmtId="0" fontId="5" fillId="4" borderId="4" xfId="0" applyFont="1" applyFill="1" applyBorder="1" applyAlignment="1">
      <alignment horizontal="center"/>
    </xf>
    <xf numFmtId="0" fontId="8" fillId="4" borderId="4" xfId="0" applyFont="1" applyFill="1" applyBorder="1"/>
    <xf numFmtId="0" fontId="4" fillId="4" borderId="4" xfId="0" applyFont="1" applyFill="1" applyBorder="1"/>
    <xf numFmtId="9" fontId="8" fillId="4" borderId="4" xfId="3" applyFont="1" applyFill="1" applyBorder="1"/>
    <xf numFmtId="0" fontId="4" fillId="0" borderId="4" xfId="0" applyFont="1" applyBorder="1"/>
  </cellXfs>
  <cellStyles count="4">
    <cellStyle name="Comma" xfId="1" builtinId="3"/>
    <cellStyle name="Normal" xfId="0" builtinId="0"/>
    <cellStyle name="Normal 2" xfId="2" xr:uid="{C4B49241-580C-4E84-B15F-2B2EA2331C2F}"/>
    <cellStyle name="Percent" xfId="3" builtinId="5"/>
  </cellStyles>
  <dxfs count="19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672DF-D1AA-4D3D-8659-612BC541C5B5}">
  <dimension ref="A3:F6"/>
  <sheetViews>
    <sheetView workbookViewId="0">
      <selection activeCell="I8" sqref="I8"/>
    </sheetView>
  </sheetViews>
  <sheetFormatPr defaultColWidth="8.7265625" defaultRowHeight="12" x14ac:dyDescent="0.3"/>
  <cols>
    <col min="1" max="1" width="8.1796875" style="1" bestFit="1" customWidth="1"/>
    <col min="2" max="2" width="6.26953125" style="1" bestFit="1" customWidth="1"/>
    <col min="3" max="3" width="9.6328125" style="1" bestFit="1" customWidth="1"/>
    <col min="4" max="4" width="6.6328125" style="1" bestFit="1" customWidth="1"/>
    <col min="5" max="5" width="8.7265625" style="1"/>
    <col min="6" max="6" width="10.26953125" style="1" bestFit="1" customWidth="1"/>
    <col min="7" max="16384" width="8.7265625" style="1"/>
  </cols>
  <sheetData>
    <row r="3" spans="1:6" x14ac:dyDescent="0.3">
      <c r="A3" s="16"/>
      <c r="B3" s="14" t="s">
        <v>877</v>
      </c>
      <c r="C3" s="14" t="s">
        <v>114</v>
      </c>
      <c r="D3" s="14" t="s">
        <v>69</v>
      </c>
      <c r="E3" s="34" t="s">
        <v>667</v>
      </c>
      <c r="F3" s="35" t="s">
        <v>878</v>
      </c>
    </row>
    <row r="4" spans="1:6" x14ac:dyDescent="0.3">
      <c r="A4" s="14" t="s">
        <v>875</v>
      </c>
      <c r="B4" s="16">
        <f>COUNT('PE names final'!$D:$D)</f>
        <v>47</v>
      </c>
      <c r="C4" s="16">
        <f>COUNTIF('PE names final'!$D:$D,"Got response")</f>
        <v>21</v>
      </c>
      <c r="D4" s="16">
        <f>COUNTIF('PE names final'!$D:$D,"Bounced")</f>
        <v>2</v>
      </c>
      <c r="E4" s="36">
        <f>SUM(B4:D4)</f>
        <v>70</v>
      </c>
      <c r="F4" s="37">
        <f>IFERROR(C4/E4,0)</f>
        <v>0.3</v>
      </c>
    </row>
    <row r="5" spans="1:6" x14ac:dyDescent="0.3">
      <c r="A5" s="14" t="s">
        <v>876</v>
      </c>
      <c r="B5" s="16">
        <f>COUNT('PE porfolio names final'!$D:$D)</f>
        <v>32</v>
      </c>
      <c r="C5" s="16">
        <f>COUNTIF('PE porfolio names final'!$D:$D,"Got response")</f>
        <v>15</v>
      </c>
      <c r="D5" s="16">
        <f>COUNTIF('PE porfolio names final'!$D:$D,"Bounced")</f>
        <v>6</v>
      </c>
      <c r="E5" s="36">
        <f>SUM(B5:D5)</f>
        <v>53</v>
      </c>
      <c r="F5" s="37">
        <f t="shared" ref="F5:F6" si="0">IFERROR(C5/E5,0)</f>
        <v>0.28301886792452829</v>
      </c>
    </row>
    <row r="6" spans="1:6" x14ac:dyDescent="0.3">
      <c r="A6" s="14" t="s">
        <v>667</v>
      </c>
      <c r="B6" s="16">
        <f>SUM(B4:B5)</f>
        <v>79</v>
      </c>
      <c r="C6" s="16">
        <f t="shared" ref="C6:E6" si="1">SUM(C4:C5)</f>
        <v>36</v>
      </c>
      <c r="D6" s="16">
        <f t="shared" si="1"/>
        <v>8</v>
      </c>
      <c r="E6" s="36">
        <f t="shared" si="1"/>
        <v>123</v>
      </c>
      <c r="F6" s="37">
        <f t="shared" si="0"/>
        <v>0.29268292682926828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B7FD6-579B-4496-AE3A-DF84D0A3BCDA}">
  <sheetPr>
    <tabColor rgb="FF00B050"/>
  </sheetPr>
  <dimension ref="A1:N75"/>
  <sheetViews>
    <sheetView zoomScale="145" zoomScaleNormal="145" workbookViewId="0">
      <selection activeCell="C24" sqref="C24"/>
    </sheetView>
  </sheetViews>
  <sheetFormatPr defaultColWidth="8.7265625" defaultRowHeight="12" x14ac:dyDescent="0.3"/>
  <cols>
    <col min="1" max="1" width="24.90625" style="1" bestFit="1" customWidth="1"/>
    <col min="2" max="2" width="11.26953125" style="1" bestFit="1" customWidth="1"/>
    <col min="3" max="3" width="15.1796875" style="1" bestFit="1" customWidth="1"/>
    <col min="4" max="4" width="11.81640625" style="1" bestFit="1" customWidth="1"/>
    <col min="5" max="5" width="34.1796875" style="1" bestFit="1" customWidth="1"/>
    <col min="6" max="6" width="22.54296875" style="1" bestFit="1" customWidth="1"/>
    <col min="7" max="7" width="40" style="1" bestFit="1" customWidth="1"/>
    <col min="8" max="8" width="33.54296875" style="1" bestFit="1" customWidth="1"/>
    <col min="9" max="9" width="55.81640625" style="1" bestFit="1" customWidth="1"/>
    <col min="10" max="10" width="19.54296875" style="1" bestFit="1" customWidth="1"/>
    <col min="11" max="11" width="32.81640625" style="1" bestFit="1" customWidth="1"/>
    <col min="12" max="12" width="32" style="1" bestFit="1" customWidth="1"/>
    <col min="13" max="13" width="55.54296875" style="1" bestFit="1" customWidth="1"/>
    <col min="14" max="14" width="55.1796875" style="1" bestFit="1" customWidth="1"/>
    <col min="15" max="16384" width="8.7265625" style="1"/>
  </cols>
  <sheetData>
    <row r="1" spans="1:14" x14ac:dyDescent="0.3">
      <c r="A1" s="2" t="s">
        <v>0</v>
      </c>
    </row>
    <row r="2" spans="1:14" x14ac:dyDescent="0.3">
      <c r="A2" s="1">
        <f>COUNTA(A6:A1048576)</f>
        <v>70</v>
      </c>
    </row>
    <row r="5" spans="1:14" x14ac:dyDescent="0.3">
      <c r="A5" s="14" t="s">
        <v>1</v>
      </c>
      <c r="B5" s="14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4" t="s">
        <v>7</v>
      </c>
      <c r="H5" s="14" t="s">
        <v>8</v>
      </c>
      <c r="I5" s="14" t="s">
        <v>9</v>
      </c>
      <c r="J5" s="14" t="s">
        <v>10</v>
      </c>
      <c r="K5" s="14" t="s">
        <v>11</v>
      </c>
      <c r="L5" s="14" t="s">
        <v>12</v>
      </c>
      <c r="M5" s="14" t="s">
        <v>13</v>
      </c>
      <c r="N5" s="14" t="s">
        <v>14</v>
      </c>
    </row>
    <row r="6" spans="1:14" x14ac:dyDescent="0.3">
      <c r="A6" s="16" t="s">
        <v>15</v>
      </c>
      <c r="B6" s="16" t="s">
        <v>16</v>
      </c>
      <c r="C6" s="30">
        <v>46034</v>
      </c>
      <c r="D6" s="30">
        <v>46091</v>
      </c>
      <c r="E6" s="16" t="s">
        <v>17</v>
      </c>
      <c r="F6" s="16" t="s">
        <v>18</v>
      </c>
      <c r="G6" s="16" t="s">
        <v>19</v>
      </c>
      <c r="H6" s="16" t="s">
        <v>20</v>
      </c>
      <c r="I6" s="16" t="s">
        <v>21</v>
      </c>
      <c r="J6" s="16" t="s">
        <v>22</v>
      </c>
      <c r="K6" s="16" t="s">
        <v>23</v>
      </c>
      <c r="L6" s="16" t="s">
        <v>24</v>
      </c>
      <c r="M6" s="16" t="s">
        <v>25</v>
      </c>
      <c r="N6" s="16" t="s">
        <v>26</v>
      </c>
    </row>
    <row r="7" spans="1:14" x14ac:dyDescent="0.3">
      <c r="A7" s="16" t="s">
        <v>27</v>
      </c>
      <c r="B7" s="16" t="s">
        <v>28</v>
      </c>
      <c r="C7" s="30">
        <v>46055</v>
      </c>
      <c r="D7" s="30" t="s">
        <v>114</v>
      </c>
      <c r="E7" s="16" t="s">
        <v>29</v>
      </c>
      <c r="F7" s="16" t="s">
        <v>30</v>
      </c>
      <c r="G7" s="16" t="s">
        <v>19</v>
      </c>
      <c r="H7" s="16" t="s">
        <v>31</v>
      </c>
      <c r="I7" s="16" t="s">
        <v>32</v>
      </c>
      <c r="J7" s="16"/>
      <c r="K7" s="16"/>
      <c r="L7" s="16"/>
      <c r="M7" s="16"/>
      <c r="N7" s="16" t="s">
        <v>33</v>
      </c>
    </row>
    <row r="8" spans="1:14" x14ac:dyDescent="0.3">
      <c r="A8" s="16" t="s">
        <v>34</v>
      </c>
      <c r="B8" s="16" t="s">
        <v>28</v>
      </c>
      <c r="C8" s="30">
        <v>46051</v>
      </c>
      <c r="D8" s="30">
        <v>46107</v>
      </c>
      <c r="E8" s="16" t="s">
        <v>35</v>
      </c>
      <c r="F8" s="16" t="s">
        <v>36</v>
      </c>
      <c r="G8" s="16" t="s">
        <v>37</v>
      </c>
      <c r="H8" s="16" t="s">
        <v>38</v>
      </c>
      <c r="I8" s="16" t="s">
        <v>39</v>
      </c>
      <c r="J8" s="16"/>
      <c r="K8" s="16"/>
      <c r="L8" s="16"/>
      <c r="M8" s="16"/>
      <c r="N8" s="16" t="s">
        <v>33</v>
      </c>
    </row>
    <row r="9" spans="1:14" x14ac:dyDescent="0.3">
      <c r="A9" s="16" t="s">
        <v>40</v>
      </c>
      <c r="B9" s="16" t="s">
        <v>28</v>
      </c>
      <c r="C9" s="30">
        <v>46051</v>
      </c>
      <c r="D9" s="30">
        <v>46107</v>
      </c>
      <c r="E9" s="16" t="s">
        <v>41</v>
      </c>
      <c r="F9" s="16" t="s">
        <v>42</v>
      </c>
      <c r="G9" s="16" t="s">
        <v>43</v>
      </c>
      <c r="H9" s="16" t="s">
        <v>44</v>
      </c>
      <c r="I9" s="16" t="s">
        <v>45</v>
      </c>
      <c r="J9" s="16"/>
      <c r="K9" s="16"/>
      <c r="L9" s="16"/>
      <c r="M9" s="16"/>
      <c r="N9" s="16" t="s">
        <v>33</v>
      </c>
    </row>
    <row r="10" spans="1:14" x14ac:dyDescent="0.3">
      <c r="A10" s="16" t="s">
        <v>46</v>
      </c>
      <c r="B10" s="16" t="s">
        <v>28</v>
      </c>
      <c r="C10" s="30">
        <v>46043</v>
      </c>
      <c r="D10" s="30">
        <v>46099</v>
      </c>
      <c r="E10" s="16" t="s">
        <v>47</v>
      </c>
      <c r="F10" s="16" t="s">
        <v>48</v>
      </c>
      <c r="G10" s="16" t="s">
        <v>49</v>
      </c>
      <c r="H10" s="16" t="s">
        <v>50</v>
      </c>
      <c r="I10" s="16" t="s">
        <v>51</v>
      </c>
      <c r="J10" s="16"/>
      <c r="K10" s="16"/>
      <c r="L10" s="16"/>
      <c r="M10" s="16"/>
      <c r="N10" s="16" t="s">
        <v>33</v>
      </c>
    </row>
    <row r="11" spans="1:14" x14ac:dyDescent="0.3">
      <c r="A11" s="38" t="s">
        <v>52</v>
      </c>
      <c r="B11" s="16" t="s">
        <v>28</v>
      </c>
      <c r="C11" s="30">
        <v>46062</v>
      </c>
      <c r="D11" s="30">
        <v>46120</v>
      </c>
      <c r="E11" s="16" t="s">
        <v>53</v>
      </c>
      <c r="F11" s="16" t="s">
        <v>54</v>
      </c>
      <c r="G11" s="16" t="s">
        <v>37</v>
      </c>
      <c r="H11" s="16" t="s">
        <v>55</v>
      </c>
      <c r="I11" s="16" t="s">
        <v>56</v>
      </c>
      <c r="J11" s="16"/>
      <c r="K11" s="16"/>
      <c r="L11" s="16"/>
      <c r="M11" s="16"/>
      <c r="N11" s="16" t="s">
        <v>33</v>
      </c>
    </row>
    <row r="12" spans="1:14" x14ac:dyDescent="0.3">
      <c r="A12" s="16" t="s">
        <v>57</v>
      </c>
      <c r="B12" s="16" t="s">
        <v>28</v>
      </c>
      <c r="C12" s="30">
        <v>46051</v>
      </c>
      <c r="D12" s="30">
        <v>46107</v>
      </c>
      <c r="E12" s="16" t="s">
        <v>58</v>
      </c>
      <c r="F12" s="16" t="s">
        <v>850</v>
      </c>
      <c r="G12" s="16" t="s">
        <v>852</v>
      </c>
      <c r="H12" s="16" t="s">
        <v>851</v>
      </c>
      <c r="I12" s="16" t="s">
        <v>853</v>
      </c>
      <c r="J12" s="16"/>
      <c r="K12" s="16"/>
      <c r="L12" s="16"/>
      <c r="M12" s="16"/>
      <c r="N12" s="16" t="s">
        <v>33</v>
      </c>
    </row>
    <row r="13" spans="1:14" x14ac:dyDescent="0.3">
      <c r="A13" s="16" t="s">
        <v>62</v>
      </c>
      <c r="B13" s="16" t="s">
        <v>28</v>
      </c>
      <c r="C13" s="30">
        <v>46062</v>
      </c>
      <c r="D13" s="30">
        <v>46120</v>
      </c>
      <c r="E13" s="16" t="s">
        <v>63</v>
      </c>
      <c r="F13" s="16" t="s">
        <v>64</v>
      </c>
      <c r="G13" s="16" t="s">
        <v>65</v>
      </c>
      <c r="H13" s="16" t="s">
        <v>66</v>
      </c>
      <c r="I13" s="16" t="s">
        <v>67</v>
      </c>
      <c r="J13" s="16"/>
      <c r="K13" s="16"/>
      <c r="L13" s="16"/>
      <c r="M13" s="16"/>
      <c r="N13" s="16" t="s">
        <v>33</v>
      </c>
    </row>
    <row r="14" spans="1:14" x14ac:dyDescent="0.3">
      <c r="A14" s="16" t="s">
        <v>68</v>
      </c>
      <c r="B14" s="16" t="s">
        <v>28</v>
      </c>
      <c r="C14" s="30">
        <v>46062</v>
      </c>
      <c r="D14" s="30" t="s">
        <v>69</v>
      </c>
      <c r="E14" s="16" t="s">
        <v>70</v>
      </c>
      <c r="F14" s="16" t="s">
        <v>791</v>
      </c>
      <c r="G14" s="16" t="s">
        <v>790</v>
      </c>
      <c r="H14" s="16" t="s">
        <v>789</v>
      </c>
      <c r="I14" s="16" t="s">
        <v>792</v>
      </c>
      <c r="J14" s="16"/>
      <c r="K14" s="16"/>
      <c r="L14" s="16"/>
      <c r="M14" s="16"/>
      <c r="N14" s="16" t="s">
        <v>33</v>
      </c>
    </row>
    <row r="15" spans="1:14" x14ac:dyDescent="0.3">
      <c r="A15" s="16" t="s">
        <v>74</v>
      </c>
      <c r="B15" s="16" t="s">
        <v>28</v>
      </c>
      <c r="C15" s="30">
        <v>46035</v>
      </c>
      <c r="D15" s="30">
        <v>46091</v>
      </c>
      <c r="E15" s="16" t="s">
        <v>75</v>
      </c>
      <c r="F15" s="16" t="s">
        <v>76</v>
      </c>
      <c r="G15" s="16" t="s">
        <v>19</v>
      </c>
      <c r="H15" s="16" t="s">
        <v>77</v>
      </c>
      <c r="I15" s="16" t="s">
        <v>78</v>
      </c>
      <c r="J15" s="16"/>
      <c r="K15" s="16"/>
      <c r="L15" s="16"/>
      <c r="M15" s="16"/>
      <c r="N15" s="16" t="s">
        <v>79</v>
      </c>
    </row>
    <row r="16" spans="1:14" x14ac:dyDescent="0.3">
      <c r="A16" s="16" t="s">
        <v>80</v>
      </c>
      <c r="B16" s="16" t="s">
        <v>16</v>
      </c>
      <c r="C16" s="30">
        <v>46034</v>
      </c>
      <c r="D16" s="30" t="s">
        <v>114</v>
      </c>
      <c r="E16" s="16" t="s">
        <v>81</v>
      </c>
      <c r="F16" s="16" t="s">
        <v>82</v>
      </c>
      <c r="G16" s="16" t="s">
        <v>83</v>
      </c>
      <c r="H16" s="16" t="s">
        <v>84</v>
      </c>
      <c r="I16" s="16" t="s">
        <v>85</v>
      </c>
      <c r="J16" s="16" t="s">
        <v>86</v>
      </c>
      <c r="K16" s="16" t="s">
        <v>87</v>
      </c>
      <c r="L16" s="16" t="s">
        <v>88</v>
      </c>
      <c r="M16" s="16" t="s">
        <v>89</v>
      </c>
      <c r="N16" s="16" t="s">
        <v>90</v>
      </c>
    </row>
    <row r="17" spans="1:14" x14ac:dyDescent="0.3">
      <c r="A17" s="16" t="s">
        <v>91</v>
      </c>
      <c r="B17" s="16" t="s">
        <v>92</v>
      </c>
      <c r="C17" s="30">
        <v>46055</v>
      </c>
      <c r="D17" s="30">
        <v>46111</v>
      </c>
      <c r="E17" s="16" t="s">
        <v>93</v>
      </c>
      <c r="F17" s="16" t="s">
        <v>94</v>
      </c>
      <c r="G17" s="16" t="s">
        <v>19</v>
      </c>
      <c r="H17" s="33" t="s">
        <v>95</v>
      </c>
      <c r="I17" s="16" t="s">
        <v>96</v>
      </c>
      <c r="J17" s="16"/>
      <c r="K17" s="16"/>
      <c r="L17" s="16"/>
      <c r="M17" s="16"/>
      <c r="N17" s="16" t="s">
        <v>79</v>
      </c>
    </row>
    <row r="18" spans="1:14" x14ac:dyDescent="0.3">
      <c r="A18" s="16" t="s">
        <v>97</v>
      </c>
      <c r="B18" s="16" t="s">
        <v>16</v>
      </c>
      <c r="C18" s="30">
        <v>46034</v>
      </c>
      <c r="D18" s="30">
        <v>46091</v>
      </c>
      <c r="E18" s="16" t="s">
        <v>98</v>
      </c>
      <c r="F18" s="16" t="s">
        <v>99</v>
      </c>
      <c r="G18" s="16" t="s">
        <v>37</v>
      </c>
      <c r="H18" s="16" t="s">
        <v>100</v>
      </c>
      <c r="I18" s="16" t="s">
        <v>101</v>
      </c>
      <c r="J18" s="16"/>
      <c r="K18" s="16"/>
      <c r="L18" s="16"/>
      <c r="M18" s="16"/>
      <c r="N18" s="16" t="s">
        <v>102</v>
      </c>
    </row>
    <row r="19" spans="1:14" x14ac:dyDescent="0.3">
      <c r="A19" s="16" t="s">
        <v>103</v>
      </c>
      <c r="B19" s="16" t="s">
        <v>16</v>
      </c>
      <c r="C19" s="30">
        <v>46034</v>
      </c>
      <c r="D19" s="30">
        <v>46091</v>
      </c>
      <c r="E19" s="16" t="s">
        <v>104</v>
      </c>
      <c r="F19" s="16" t="s">
        <v>105</v>
      </c>
      <c r="G19" s="16" t="s">
        <v>19</v>
      </c>
      <c r="H19" s="16" t="s">
        <v>106</v>
      </c>
      <c r="I19" s="16" t="s">
        <v>107</v>
      </c>
      <c r="J19" s="16"/>
      <c r="K19" s="16"/>
      <c r="L19" s="16"/>
      <c r="M19" s="16"/>
      <c r="N19" s="16" t="s">
        <v>102</v>
      </c>
    </row>
    <row r="20" spans="1:14" x14ac:dyDescent="0.3">
      <c r="A20" s="16" t="s">
        <v>108</v>
      </c>
      <c r="B20" s="16" t="s">
        <v>16</v>
      </c>
      <c r="C20" s="30">
        <v>46034</v>
      </c>
      <c r="D20" s="30" t="s">
        <v>114</v>
      </c>
      <c r="E20" s="16" t="s">
        <v>109</v>
      </c>
      <c r="F20" s="16" t="s">
        <v>110</v>
      </c>
      <c r="G20" s="16" t="s">
        <v>49</v>
      </c>
      <c r="H20" s="16" t="s">
        <v>111</v>
      </c>
      <c r="I20" s="16" t="s">
        <v>112</v>
      </c>
      <c r="J20" s="16"/>
      <c r="K20" s="16"/>
      <c r="L20" s="16"/>
      <c r="M20" s="16"/>
      <c r="N20" s="16" t="s">
        <v>102</v>
      </c>
    </row>
    <row r="21" spans="1:14" x14ac:dyDescent="0.3">
      <c r="A21" s="16" t="s">
        <v>113</v>
      </c>
      <c r="B21" s="16" t="s">
        <v>28</v>
      </c>
      <c r="C21" s="30">
        <v>45974</v>
      </c>
      <c r="D21" s="16" t="s">
        <v>114</v>
      </c>
      <c r="E21" s="16" t="s">
        <v>115</v>
      </c>
      <c r="F21" s="16" t="s">
        <v>116</v>
      </c>
      <c r="G21" s="16" t="s">
        <v>117</v>
      </c>
      <c r="H21" s="16" t="s">
        <v>118</v>
      </c>
      <c r="I21" s="16" t="s">
        <v>119</v>
      </c>
      <c r="J21" s="16"/>
      <c r="K21" s="16"/>
      <c r="L21" s="16"/>
      <c r="M21" s="16"/>
      <c r="N21" s="16" t="s">
        <v>79</v>
      </c>
    </row>
    <row r="22" spans="1:14" x14ac:dyDescent="0.3">
      <c r="A22" s="16" t="s">
        <v>120</v>
      </c>
      <c r="B22" s="16" t="s">
        <v>121</v>
      </c>
      <c r="C22" s="30">
        <v>46055</v>
      </c>
      <c r="D22" s="30">
        <v>46111</v>
      </c>
      <c r="E22" s="16" t="s">
        <v>122</v>
      </c>
      <c r="F22" s="16" t="s">
        <v>123</v>
      </c>
      <c r="G22" s="16" t="s">
        <v>124</v>
      </c>
      <c r="H22" s="16" t="s">
        <v>125</v>
      </c>
      <c r="I22" s="16" t="s">
        <v>126</v>
      </c>
      <c r="J22" s="16"/>
      <c r="K22" s="16"/>
      <c r="L22" s="16"/>
      <c r="M22" s="16"/>
      <c r="N22" s="16" t="s">
        <v>79</v>
      </c>
    </row>
    <row r="23" spans="1:14" x14ac:dyDescent="0.3">
      <c r="A23" s="16" t="s">
        <v>127</v>
      </c>
      <c r="B23" s="16" t="s">
        <v>28</v>
      </c>
      <c r="C23" s="30">
        <v>45974</v>
      </c>
      <c r="D23" s="16" t="s">
        <v>114</v>
      </c>
      <c r="E23" s="16" t="s">
        <v>128</v>
      </c>
      <c r="F23" s="16" t="s">
        <v>129</v>
      </c>
      <c r="G23" s="16" t="s">
        <v>19</v>
      </c>
      <c r="H23" s="16" t="s">
        <v>130</v>
      </c>
      <c r="I23" s="16" t="s">
        <v>131</v>
      </c>
      <c r="J23" s="16"/>
      <c r="K23" s="16"/>
      <c r="L23" s="16"/>
      <c r="M23" s="16"/>
      <c r="N23" s="16" t="s">
        <v>79</v>
      </c>
    </row>
    <row r="24" spans="1:14" x14ac:dyDescent="0.3">
      <c r="A24" s="16" t="s">
        <v>132</v>
      </c>
      <c r="B24" s="16" t="s">
        <v>133</v>
      </c>
      <c r="C24" s="30">
        <v>46055</v>
      </c>
      <c r="D24" s="30">
        <v>46111</v>
      </c>
      <c r="E24" s="16" t="s">
        <v>134</v>
      </c>
      <c r="F24" s="16" t="s">
        <v>135</v>
      </c>
      <c r="G24" s="16" t="s">
        <v>19</v>
      </c>
      <c r="H24" s="16" t="s">
        <v>136</v>
      </c>
      <c r="I24" s="16" t="s">
        <v>137</v>
      </c>
      <c r="J24" s="16"/>
      <c r="K24" s="16"/>
      <c r="L24" s="16"/>
      <c r="M24" s="16"/>
      <c r="N24" s="16" t="s">
        <v>79</v>
      </c>
    </row>
    <row r="25" spans="1:14" x14ac:dyDescent="0.3">
      <c r="A25" s="16" t="s">
        <v>138</v>
      </c>
      <c r="B25" s="16" t="s">
        <v>28</v>
      </c>
      <c r="C25" s="30">
        <v>46055</v>
      </c>
      <c r="D25" s="30">
        <v>46111</v>
      </c>
      <c r="E25" s="16" t="s">
        <v>139</v>
      </c>
      <c r="F25" s="16" t="s">
        <v>140</v>
      </c>
      <c r="G25" s="16" t="s">
        <v>37</v>
      </c>
      <c r="H25" s="16" t="s">
        <v>141</v>
      </c>
      <c r="I25" s="16" t="s">
        <v>142</v>
      </c>
      <c r="J25" s="16"/>
      <c r="K25" s="16"/>
      <c r="L25" s="16"/>
      <c r="M25" s="16"/>
      <c r="N25" s="16" t="s">
        <v>79</v>
      </c>
    </row>
    <row r="26" spans="1:14" x14ac:dyDescent="0.3">
      <c r="A26" s="16" t="s">
        <v>143</v>
      </c>
      <c r="B26" s="16" t="s">
        <v>847</v>
      </c>
      <c r="C26" s="30">
        <v>46055</v>
      </c>
      <c r="D26" s="30" t="s">
        <v>114</v>
      </c>
      <c r="E26" s="16" t="s">
        <v>144</v>
      </c>
      <c r="F26" s="16" t="s">
        <v>145</v>
      </c>
      <c r="G26" s="16" t="s">
        <v>146</v>
      </c>
      <c r="H26" s="16" t="s">
        <v>147</v>
      </c>
      <c r="I26" s="16" t="s">
        <v>148</v>
      </c>
      <c r="J26" s="16"/>
      <c r="K26" s="16"/>
      <c r="L26" s="16"/>
      <c r="M26" s="16"/>
      <c r="N26" s="16" t="s">
        <v>79</v>
      </c>
    </row>
    <row r="27" spans="1:14" x14ac:dyDescent="0.3">
      <c r="A27" s="16" t="s">
        <v>149</v>
      </c>
      <c r="B27" s="16" t="s">
        <v>16</v>
      </c>
      <c r="C27" s="30">
        <v>46034</v>
      </c>
      <c r="D27" s="30">
        <v>46091</v>
      </c>
      <c r="E27" s="16" t="s">
        <v>150</v>
      </c>
      <c r="F27" s="16" t="s">
        <v>151</v>
      </c>
      <c r="G27" s="16" t="s">
        <v>83</v>
      </c>
      <c r="H27" s="16" t="s">
        <v>152</v>
      </c>
      <c r="I27" s="16" t="s">
        <v>153</v>
      </c>
      <c r="J27" s="16"/>
      <c r="K27" s="16"/>
      <c r="L27" s="16"/>
      <c r="M27" s="16"/>
      <c r="N27" s="16" t="s">
        <v>102</v>
      </c>
    </row>
    <row r="28" spans="1:14" x14ac:dyDescent="0.3">
      <c r="A28" s="16" t="s">
        <v>154</v>
      </c>
      <c r="B28" s="16" t="s">
        <v>16</v>
      </c>
      <c r="C28" s="30">
        <v>46034</v>
      </c>
      <c r="D28" s="30" t="s">
        <v>114</v>
      </c>
      <c r="E28" s="16" t="s">
        <v>155</v>
      </c>
      <c r="F28" s="16" t="s">
        <v>156</v>
      </c>
      <c r="G28" s="16" t="s">
        <v>19</v>
      </c>
      <c r="H28" s="16" t="s">
        <v>157</v>
      </c>
      <c r="I28" s="16" t="s">
        <v>158</v>
      </c>
      <c r="J28" s="16"/>
      <c r="K28" s="16"/>
      <c r="L28" s="16"/>
      <c r="M28" s="16"/>
      <c r="N28" s="16" t="s">
        <v>102</v>
      </c>
    </row>
    <row r="29" spans="1:14" x14ac:dyDescent="0.3">
      <c r="A29" s="16" t="s">
        <v>159</v>
      </c>
      <c r="B29" s="16" t="s">
        <v>16</v>
      </c>
      <c r="C29" s="30">
        <v>46034</v>
      </c>
      <c r="D29" s="30">
        <v>46091</v>
      </c>
      <c r="E29" s="16" t="s">
        <v>160</v>
      </c>
      <c r="F29" s="16" t="s">
        <v>161</v>
      </c>
      <c r="G29" s="16" t="s">
        <v>162</v>
      </c>
      <c r="H29" s="16" t="s">
        <v>163</v>
      </c>
      <c r="I29" s="16" t="s">
        <v>164</v>
      </c>
      <c r="J29" s="16"/>
      <c r="K29" s="16"/>
      <c r="L29" s="16"/>
      <c r="M29" s="16"/>
      <c r="N29" s="16" t="s">
        <v>102</v>
      </c>
    </row>
    <row r="30" spans="1:14" x14ac:dyDescent="0.3">
      <c r="A30" s="16" t="s">
        <v>165</v>
      </c>
      <c r="B30" s="16" t="s">
        <v>16</v>
      </c>
      <c r="C30" s="30">
        <v>46034</v>
      </c>
      <c r="D30" s="30" t="s">
        <v>114</v>
      </c>
      <c r="E30" s="16" t="s">
        <v>166</v>
      </c>
      <c r="F30" s="16" t="s">
        <v>167</v>
      </c>
      <c r="G30" s="16" t="s">
        <v>37</v>
      </c>
      <c r="H30" s="16" t="s">
        <v>168</v>
      </c>
      <c r="I30" s="16" t="s">
        <v>169</v>
      </c>
      <c r="J30" s="16" t="s">
        <v>170</v>
      </c>
      <c r="K30" s="16" t="s">
        <v>171</v>
      </c>
      <c r="L30" s="16" t="s">
        <v>172</v>
      </c>
      <c r="M30" s="16" t="s">
        <v>173</v>
      </c>
      <c r="N30" s="16" t="s">
        <v>102</v>
      </c>
    </row>
    <row r="31" spans="1:14" x14ac:dyDescent="0.3">
      <c r="A31" s="16" t="s">
        <v>174</v>
      </c>
      <c r="B31" s="16" t="s">
        <v>175</v>
      </c>
      <c r="C31" s="30">
        <v>46055</v>
      </c>
      <c r="D31" s="30">
        <v>46111</v>
      </c>
      <c r="E31" s="16" t="s">
        <v>176</v>
      </c>
      <c r="F31" s="16" t="s">
        <v>177</v>
      </c>
      <c r="G31" s="16" t="s">
        <v>178</v>
      </c>
      <c r="H31" s="16" t="s">
        <v>179</v>
      </c>
      <c r="I31" s="16" t="s">
        <v>180</v>
      </c>
      <c r="J31" s="16"/>
      <c r="K31" s="16"/>
      <c r="L31" s="16"/>
      <c r="M31" s="16"/>
      <c r="N31" s="16" t="s">
        <v>79</v>
      </c>
    </row>
    <row r="32" spans="1:14" x14ac:dyDescent="0.3">
      <c r="A32" s="16" t="s">
        <v>181</v>
      </c>
      <c r="B32" s="16" t="s">
        <v>182</v>
      </c>
      <c r="C32" s="30">
        <v>46062</v>
      </c>
      <c r="D32" s="30">
        <v>46120</v>
      </c>
      <c r="E32" s="16" t="s">
        <v>183</v>
      </c>
      <c r="F32" s="16" t="s">
        <v>834</v>
      </c>
      <c r="G32" s="16" t="s">
        <v>835</v>
      </c>
      <c r="H32" s="16" t="s">
        <v>836</v>
      </c>
      <c r="I32" s="16" t="s">
        <v>837</v>
      </c>
      <c r="J32" s="16"/>
      <c r="K32" s="16"/>
      <c r="L32" s="16"/>
      <c r="M32" s="16"/>
      <c r="N32" s="16" t="s">
        <v>79</v>
      </c>
    </row>
    <row r="33" spans="1:14" x14ac:dyDescent="0.3">
      <c r="A33" s="16" t="s">
        <v>187</v>
      </c>
      <c r="B33" s="16" t="s">
        <v>16</v>
      </c>
      <c r="C33" s="30">
        <v>46034</v>
      </c>
      <c r="D33" s="30" t="s">
        <v>114</v>
      </c>
      <c r="E33" s="16" t="s">
        <v>188</v>
      </c>
      <c r="F33" s="16" t="s">
        <v>189</v>
      </c>
      <c r="G33" s="16" t="s">
        <v>190</v>
      </c>
      <c r="H33" s="16" t="s">
        <v>191</v>
      </c>
      <c r="I33" s="16" t="s">
        <v>192</v>
      </c>
      <c r="J33" s="16"/>
      <c r="K33" s="16"/>
      <c r="L33" s="16"/>
      <c r="M33" s="16"/>
      <c r="N33" s="16" t="s">
        <v>102</v>
      </c>
    </row>
    <row r="34" spans="1:14" x14ac:dyDescent="0.3">
      <c r="A34" s="16" t="s">
        <v>193</v>
      </c>
      <c r="B34" s="16" t="s">
        <v>194</v>
      </c>
      <c r="C34" s="30">
        <v>46062</v>
      </c>
      <c r="D34" s="30" t="s">
        <v>114</v>
      </c>
      <c r="E34" s="16" t="s">
        <v>195</v>
      </c>
      <c r="F34" s="16" t="s">
        <v>196</v>
      </c>
      <c r="G34" s="16" t="s">
        <v>197</v>
      </c>
      <c r="H34" s="16" t="s">
        <v>198</v>
      </c>
      <c r="I34" s="16" t="s">
        <v>199</v>
      </c>
      <c r="J34" s="16"/>
      <c r="K34" s="16"/>
      <c r="L34" s="16"/>
      <c r="M34" s="16"/>
      <c r="N34" s="16" t="s">
        <v>788</v>
      </c>
    </row>
    <row r="35" spans="1:14" x14ac:dyDescent="0.3">
      <c r="A35" s="16" t="s">
        <v>200</v>
      </c>
      <c r="B35" s="16" t="s">
        <v>201</v>
      </c>
      <c r="C35" s="30">
        <v>46034</v>
      </c>
      <c r="D35" s="30">
        <v>46091</v>
      </c>
      <c r="E35" s="16" t="s">
        <v>202</v>
      </c>
      <c r="F35" s="16" t="s">
        <v>203</v>
      </c>
      <c r="G35" s="16" t="s">
        <v>19</v>
      </c>
      <c r="H35" s="16" t="s">
        <v>204</v>
      </c>
      <c r="I35" s="16" t="s">
        <v>205</v>
      </c>
      <c r="J35" s="16"/>
      <c r="K35" s="16"/>
      <c r="L35" s="16"/>
      <c r="M35" s="16"/>
      <c r="N35" s="16" t="s">
        <v>102</v>
      </c>
    </row>
    <row r="36" spans="1:14" x14ac:dyDescent="0.3">
      <c r="A36" s="16" t="s">
        <v>206</v>
      </c>
      <c r="B36" s="16" t="s">
        <v>182</v>
      </c>
      <c r="C36" s="30">
        <v>46062</v>
      </c>
      <c r="D36" s="30">
        <v>46120</v>
      </c>
      <c r="E36" s="16" t="s">
        <v>207</v>
      </c>
      <c r="F36" s="16" t="s">
        <v>208</v>
      </c>
      <c r="G36" s="16" t="s">
        <v>19</v>
      </c>
      <c r="H36" s="16" t="s">
        <v>209</v>
      </c>
      <c r="I36" s="16" t="s">
        <v>210</v>
      </c>
      <c r="J36" s="16"/>
      <c r="K36" s="16"/>
      <c r="L36" s="16"/>
      <c r="M36" s="16"/>
      <c r="N36" s="16" t="s">
        <v>79</v>
      </c>
    </row>
    <row r="37" spans="1:14" x14ac:dyDescent="0.3">
      <c r="A37" s="16" t="s">
        <v>211</v>
      </c>
      <c r="B37" s="16" t="s">
        <v>28</v>
      </c>
      <c r="C37" s="30">
        <v>46035</v>
      </c>
      <c r="D37" s="30">
        <v>46091</v>
      </c>
      <c r="E37" s="16" t="s">
        <v>212</v>
      </c>
      <c r="F37" s="16" t="s">
        <v>213</v>
      </c>
      <c r="G37" s="16" t="s">
        <v>49</v>
      </c>
      <c r="H37" s="16" t="s">
        <v>214</v>
      </c>
      <c r="I37" s="16" t="s">
        <v>215</v>
      </c>
      <c r="J37" s="16"/>
      <c r="K37" s="16"/>
      <c r="L37" s="16"/>
      <c r="M37" s="16"/>
      <c r="N37" s="16" t="s">
        <v>79</v>
      </c>
    </row>
    <row r="38" spans="1:14" x14ac:dyDescent="0.3">
      <c r="A38" s="16" t="s">
        <v>216</v>
      </c>
      <c r="B38" s="16" t="s">
        <v>28</v>
      </c>
      <c r="C38" s="30">
        <v>46035</v>
      </c>
      <c r="D38" s="30" t="s">
        <v>114</v>
      </c>
      <c r="E38" s="16" t="s">
        <v>217</v>
      </c>
      <c r="F38" s="16" t="s">
        <v>218</v>
      </c>
      <c r="G38" s="16" t="s">
        <v>37</v>
      </c>
      <c r="H38" s="16" t="s">
        <v>219</v>
      </c>
      <c r="I38" s="16" t="s">
        <v>220</v>
      </c>
      <c r="J38" s="16"/>
      <c r="K38" s="16"/>
      <c r="L38" s="16"/>
      <c r="M38" s="16"/>
      <c r="N38" s="16" t="s">
        <v>79</v>
      </c>
    </row>
    <row r="39" spans="1:14" x14ac:dyDescent="0.3">
      <c r="A39" s="16" t="s">
        <v>221</v>
      </c>
      <c r="B39" s="16" t="s">
        <v>28</v>
      </c>
      <c r="C39" s="30">
        <v>46035</v>
      </c>
      <c r="D39" s="30">
        <v>46091</v>
      </c>
      <c r="E39" s="16" t="s">
        <v>222</v>
      </c>
      <c r="F39" s="16" t="s">
        <v>223</v>
      </c>
      <c r="G39" s="16" t="s">
        <v>224</v>
      </c>
      <c r="H39" s="16" t="s">
        <v>225</v>
      </c>
      <c r="I39" s="16" t="s">
        <v>226</v>
      </c>
      <c r="J39" s="16"/>
      <c r="K39" s="16"/>
      <c r="L39" s="16"/>
      <c r="M39" s="16"/>
      <c r="N39" s="16" t="s">
        <v>79</v>
      </c>
    </row>
    <row r="40" spans="1:14" x14ac:dyDescent="0.3">
      <c r="A40" s="16" t="s">
        <v>227</v>
      </c>
      <c r="B40" s="16" t="s">
        <v>28</v>
      </c>
      <c r="C40" s="30">
        <v>46035</v>
      </c>
      <c r="D40" s="30">
        <v>46091</v>
      </c>
      <c r="E40" s="16" t="s">
        <v>228</v>
      </c>
      <c r="F40" s="16" t="s">
        <v>229</v>
      </c>
      <c r="G40" s="16" t="s">
        <v>230</v>
      </c>
      <c r="H40" s="16" t="s">
        <v>231</v>
      </c>
      <c r="I40" s="16" t="s">
        <v>232</v>
      </c>
      <c r="J40" s="16"/>
      <c r="K40" s="16"/>
      <c r="L40" s="16"/>
      <c r="M40" s="16"/>
      <c r="N40" s="16" t="s">
        <v>79</v>
      </c>
    </row>
    <row r="41" spans="1:14" x14ac:dyDescent="0.3">
      <c r="A41" s="16" t="s">
        <v>233</v>
      </c>
      <c r="B41" s="16" t="s">
        <v>28</v>
      </c>
      <c r="C41" s="30">
        <v>46035</v>
      </c>
      <c r="D41" s="30" t="s">
        <v>114</v>
      </c>
      <c r="E41" s="16" t="s">
        <v>234</v>
      </c>
      <c r="F41" s="16" t="s">
        <v>235</v>
      </c>
      <c r="G41" s="16" t="s">
        <v>49</v>
      </c>
      <c r="H41" s="16" t="s">
        <v>236</v>
      </c>
      <c r="I41" s="16" t="s">
        <v>237</v>
      </c>
      <c r="J41" s="16"/>
      <c r="K41" s="16"/>
      <c r="L41" s="16"/>
      <c r="M41" s="16"/>
      <c r="N41" s="16" t="s">
        <v>79</v>
      </c>
    </row>
    <row r="42" spans="1:14" x14ac:dyDescent="0.3">
      <c r="A42" s="16" t="s">
        <v>238</v>
      </c>
      <c r="B42" s="16" t="s">
        <v>239</v>
      </c>
      <c r="C42" s="30">
        <v>46058</v>
      </c>
      <c r="D42" s="30" t="s">
        <v>114</v>
      </c>
      <c r="E42" s="16" t="s">
        <v>240</v>
      </c>
      <c r="F42" s="16" t="s">
        <v>241</v>
      </c>
      <c r="G42" s="16" t="s">
        <v>242</v>
      </c>
      <c r="H42" s="16" t="s">
        <v>243</v>
      </c>
      <c r="I42" s="16" t="s">
        <v>244</v>
      </c>
      <c r="J42" s="16"/>
      <c r="K42" s="16"/>
      <c r="L42" s="16"/>
      <c r="M42" s="16"/>
      <c r="N42" s="16" t="s">
        <v>79</v>
      </c>
    </row>
    <row r="43" spans="1:14" x14ac:dyDescent="0.3">
      <c r="A43" s="16" t="s">
        <v>245</v>
      </c>
      <c r="B43" s="16" t="s">
        <v>28</v>
      </c>
      <c r="C43" s="30">
        <v>46035</v>
      </c>
      <c r="D43" s="30">
        <v>46091</v>
      </c>
      <c r="E43" s="16" t="s">
        <v>246</v>
      </c>
      <c r="F43" s="16" t="s">
        <v>247</v>
      </c>
      <c r="G43" s="16" t="s">
        <v>49</v>
      </c>
      <c r="H43" s="16" t="s">
        <v>248</v>
      </c>
      <c r="I43" s="16" t="s">
        <v>249</v>
      </c>
      <c r="J43" s="16"/>
      <c r="K43" s="16"/>
      <c r="L43" s="16"/>
      <c r="M43" s="16"/>
      <c r="N43" s="16" t="s">
        <v>79</v>
      </c>
    </row>
    <row r="44" spans="1:14" x14ac:dyDescent="0.3">
      <c r="A44" s="16" t="s">
        <v>250</v>
      </c>
      <c r="B44" s="16" t="s">
        <v>28</v>
      </c>
      <c r="C44" s="30">
        <v>46062</v>
      </c>
      <c r="D44" s="30">
        <v>46120</v>
      </c>
      <c r="E44" s="16" t="s">
        <v>251</v>
      </c>
      <c r="F44" s="16" t="s">
        <v>252</v>
      </c>
      <c r="G44" s="16" t="s">
        <v>37</v>
      </c>
      <c r="H44" s="16" t="s">
        <v>253</v>
      </c>
      <c r="I44" s="16" t="s">
        <v>254</v>
      </c>
      <c r="J44" s="16"/>
      <c r="K44" s="16"/>
      <c r="L44" s="16"/>
      <c r="M44" s="16"/>
      <c r="N44" s="16" t="s">
        <v>79</v>
      </c>
    </row>
    <row r="45" spans="1:14" x14ac:dyDescent="0.3">
      <c r="A45" s="16" t="s">
        <v>255</v>
      </c>
      <c r="B45" s="16" t="s">
        <v>28</v>
      </c>
      <c r="C45" s="30">
        <v>46062</v>
      </c>
      <c r="D45" s="30">
        <v>46120</v>
      </c>
      <c r="E45" s="16" t="s">
        <v>256</v>
      </c>
      <c r="F45" s="16" t="s">
        <v>257</v>
      </c>
      <c r="G45" s="16" t="s">
        <v>258</v>
      </c>
      <c r="H45" s="16" t="s">
        <v>259</v>
      </c>
      <c r="I45" s="16" t="s">
        <v>260</v>
      </c>
      <c r="J45" s="16"/>
      <c r="K45" s="16"/>
      <c r="L45" s="16"/>
      <c r="M45" s="16"/>
      <c r="N45" s="16" t="s">
        <v>79</v>
      </c>
    </row>
    <row r="46" spans="1:14" x14ac:dyDescent="0.3">
      <c r="A46" s="16" t="s">
        <v>261</v>
      </c>
      <c r="B46" s="16" t="s">
        <v>28</v>
      </c>
      <c r="C46" s="30">
        <v>46062</v>
      </c>
      <c r="D46" s="30">
        <v>46120</v>
      </c>
      <c r="E46" s="16" t="s">
        <v>262</v>
      </c>
      <c r="F46" s="16" t="s">
        <v>263</v>
      </c>
      <c r="G46" s="16" t="s">
        <v>264</v>
      </c>
      <c r="H46" s="16" t="s">
        <v>265</v>
      </c>
      <c r="I46" s="16" t="s">
        <v>266</v>
      </c>
      <c r="J46" s="16"/>
      <c r="K46" s="16"/>
      <c r="L46" s="16"/>
      <c r="M46" s="16"/>
      <c r="N46" s="16" t="s">
        <v>79</v>
      </c>
    </row>
    <row r="47" spans="1:14" x14ac:dyDescent="0.3">
      <c r="A47" s="16" t="s">
        <v>888</v>
      </c>
      <c r="B47" s="16" t="s">
        <v>28</v>
      </c>
      <c r="C47" s="30">
        <v>46062</v>
      </c>
      <c r="D47" s="30" t="s">
        <v>114</v>
      </c>
      <c r="E47" s="16" t="s">
        <v>268</v>
      </c>
      <c r="F47" s="16" t="s">
        <v>269</v>
      </c>
      <c r="G47" s="16" t="s">
        <v>37</v>
      </c>
      <c r="H47" s="16" t="s">
        <v>270</v>
      </c>
      <c r="I47" s="16" t="s">
        <v>271</v>
      </c>
      <c r="J47" s="16"/>
      <c r="K47" s="16"/>
      <c r="L47" s="16"/>
      <c r="M47" s="16"/>
      <c r="N47" s="16" t="s">
        <v>79</v>
      </c>
    </row>
    <row r="48" spans="1:14" x14ac:dyDescent="0.3">
      <c r="A48" s="16" t="s">
        <v>272</v>
      </c>
      <c r="B48" s="16" t="s">
        <v>28</v>
      </c>
      <c r="C48" s="30">
        <v>46062</v>
      </c>
      <c r="D48" s="30" t="s">
        <v>114</v>
      </c>
      <c r="E48" s="16" t="s">
        <v>273</v>
      </c>
      <c r="F48" s="16" t="s">
        <v>274</v>
      </c>
      <c r="G48" s="16" t="s">
        <v>162</v>
      </c>
      <c r="H48" s="16" t="s">
        <v>275</v>
      </c>
      <c r="I48" s="16" t="s">
        <v>276</v>
      </c>
      <c r="J48" s="16"/>
      <c r="K48" s="16"/>
      <c r="L48" s="16"/>
      <c r="M48" s="16"/>
      <c r="N48" s="16" t="s">
        <v>79</v>
      </c>
    </row>
    <row r="49" spans="1:14" x14ac:dyDescent="0.3">
      <c r="A49" s="16" t="s">
        <v>277</v>
      </c>
      <c r="B49" s="16" t="s">
        <v>182</v>
      </c>
      <c r="C49" s="30">
        <v>46062</v>
      </c>
      <c r="D49" s="30">
        <v>46120</v>
      </c>
      <c r="E49" s="16" t="s">
        <v>278</v>
      </c>
      <c r="F49" s="16" t="s">
        <v>279</v>
      </c>
      <c r="G49" s="16" t="s">
        <v>19</v>
      </c>
      <c r="H49" s="16" t="s">
        <v>280</v>
      </c>
      <c r="I49" s="16" t="s">
        <v>281</v>
      </c>
      <c r="J49" s="16"/>
      <c r="K49" s="16"/>
      <c r="L49" s="16"/>
      <c r="M49" s="16"/>
      <c r="N49" s="16" t="s">
        <v>79</v>
      </c>
    </row>
    <row r="50" spans="1:14" x14ac:dyDescent="0.3">
      <c r="A50" s="16" t="s">
        <v>282</v>
      </c>
      <c r="B50" s="16" t="s">
        <v>28</v>
      </c>
      <c r="C50" s="30">
        <v>46062</v>
      </c>
      <c r="D50" s="30">
        <v>46120</v>
      </c>
      <c r="E50" s="16" t="s">
        <v>283</v>
      </c>
      <c r="F50" s="16" t="s">
        <v>284</v>
      </c>
      <c r="G50" s="16" t="s">
        <v>49</v>
      </c>
      <c r="H50" s="16" t="s">
        <v>285</v>
      </c>
      <c r="I50" s="16" t="s">
        <v>286</v>
      </c>
      <c r="J50" s="16"/>
      <c r="K50" s="16"/>
      <c r="L50" s="16"/>
      <c r="M50" s="16"/>
      <c r="N50" s="16" t="s">
        <v>79</v>
      </c>
    </row>
    <row r="51" spans="1:14" x14ac:dyDescent="0.3">
      <c r="A51" s="16" t="s">
        <v>287</v>
      </c>
      <c r="B51" s="16" t="s">
        <v>28</v>
      </c>
      <c r="C51" s="30">
        <v>46062</v>
      </c>
      <c r="D51" s="30">
        <v>46120</v>
      </c>
      <c r="E51" s="16" t="s">
        <v>288</v>
      </c>
      <c r="F51" s="16" t="s">
        <v>289</v>
      </c>
      <c r="G51" s="16" t="s">
        <v>290</v>
      </c>
      <c r="H51" s="16" t="s">
        <v>291</v>
      </c>
      <c r="I51" s="16" t="s">
        <v>292</v>
      </c>
      <c r="J51" s="16"/>
      <c r="K51" s="16"/>
      <c r="L51" s="16"/>
      <c r="M51" s="16"/>
      <c r="N51" s="16" t="s">
        <v>79</v>
      </c>
    </row>
    <row r="52" spans="1:14" x14ac:dyDescent="0.3">
      <c r="A52" s="16" t="s">
        <v>293</v>
      </c>
      <c r="B52" s="16" t="s">
        <v>28</v>
      </c>
      <c r="C52" s="30">
        <v>46035</v>
      </c>
      <c r="D52" s="30">
        <v>46091</v>
      </c>
      <c r="E52" s="16" t="s">
        <v>294</v>
      </c>
      <c r="F52" s="16" t="s">
        <v>295</v>
      </c>
      <c r="G52" s="16" t="s">
        <v>296</v>
      </c>
      <c r="H52" s="16" t="s">
        <v>297</v>
      </c>
      <c r="I52" s="16" t="s">
        <v>298</v>
      </c>
      <c r="J52" s="16"/>
      <c r="K52" s="16"/>
      <c r="L52" s="16"/>
      <c r="M52" s="16"/>
      <c r="N52" s="16" t="s">
        <v>79</v>
      </c>
    </row>
    <row r="53" spans="1:14" x14ac:dyDescent="0.3">
      <c r="A53" s="16" t="s">
        <v>299</v>
      </c>
      <c r="B53" s="16" t="s">
        <v>28</v>
      </c>
      <c r="C53" s="30">
        <v>46035</v>
      </c>
      <c r="D53" s="30" t="s">
        <v>114</v>
      </c>
      <c r="E53" s="16" t="s">
        <v>300</v>
      </c>
      <c r="F53" s="16" t="s">
        <v>301</v>
      </c>
      <c r="G53" s="16" t="s">
        <v>37</v>
      </c>
      <c r="H53" s="16" t="s">
        <v>302</v>
      </c>
      <c r="I53" s="16" t="s">
        <v>303</v>
      </c>
      <c r="J53" s="16"/>
      <c r="K53" s="16"/>
      <c r="L53" s="16"/>
      <c r="M53" s="16"/>
      <c r="N53" s="16" t="s">
        <v>79</v>
      </c>
    </row>
    <row r="54" spans="1:14" x14ac:dyDescent="0.3">
      <c r="A54" s="16" t="s">
        <v>304</v>
      </c>
      <c r="B54" s="16" t="s">
        <v>28</v>
      </c>
      <c r="C54" s="30">
        <v>46035</v>
      </c>
      <c r="D54" s="30" t="s">
        <v>114</v>
      </c>
      <c r="E54" s="16" t="s">
        <v>305</v>
      </c>
      <c r="F54" s="16" t="s">
        <v>306</v>
      </c>
      <c r="G54" s="16" t="s">
        <v>19</v>
      </c>
      <c r="H54" s="16" t="s">
        <v>307</v>
      </c>
      <c r="I54" s="16" t="s">
        <v>308</v>
      </c>
      <c r="J54" s="16"/>
      <c r="K54" s="16"/>
      <c r="L54" s="16"/>
      <c r="M54" s="16"/>
      <c r="N54" s="16" t="s">
        <v>79</v>
      </c>
    </row>
    <row r="55" spans="1:14" x14ac:dyDescent="0.3">
      <c r="A55" s="16" t="s">
        <v>309</v>
      </c>
      <c r="B55" s="16" t="s">
        <v>28</v>
      </c>
      <c r="C55" s="30">
        <v>46041</v>
      </c>
      <c r="D55" s="30">
        <v>46097</v>
      </c>
      <c r="E55" s="16" t="s">
        <v>310</v>
      </c>
      <c r="F55" s="16" t="s">
        <v>311</v>
      </c>
      <c r="G55" s="16" t="s">
        <v>37</v>
      </c>
      <c r="H55" s="16" t="s">
        <v>312</v>
      </c>
      <c r="I55" s="16" t="s">
        <v>313</v>
      </c>
      <c r="J55" s="16"/>
      <c r="K55" s="16"/>
      <c r="L55" s="16"/>
      <c r="M55" s="16"/>
      <c r="N55" s="16" t="s">
        <v>79</v>
      </c>
    </row>
    <row r="56" spans="1:14" x14ac:dyDescent="0.3">
      <c r="A56" s="16" t="s">
        <v>314</v>
      </c>
      <c r="B56" s="16" t="s">
        <v>28</v>
      </c>
      <c r="C56" s="30">
        <v>46062</v>
      </c>
      <c r="D56" s="30">
        <v>46120</v>
      </c>
      <c r="E56" s="16" t="s">
        <v>315</v>
      </c>
      <c r="F56" s="16" t="s">
        <v>574</v>
      </c>
      <c r="G56" s="16" t="s">
        <v>574</v>
      </c>
      <c r="H56" s="16" t="s">
        <v>887</v>
      </c>
      <c r="I56" s="16" t="s">
        <v>574</v>
      </c>
      <c r="J56" s="16"/>
      <c r="K56" s="16"/>
      <c r="L56" s="16"/>
      <c r="M56" s="16"/>
      <c r="N56" s="16" t="s">
        <v>79</v>
      </c>
    </row>
    <row r="57" spans="1:14" x14ac:dyDescent="0.3">
      <c r="A57" s="16" t="s">
        <v>316</v>
      </c>
      <c r="B57" s="16" t="s">
        <v>28</v>
      </c>
      <c r="C57" s="30">
        <v>46041</v>
      </c>
      <c r="D57" s="30">
        <v>46097</v>
      </c>
      <c r="E57" s="16" t="s">
        <v>317</v>
      </c>
      <c r="F57" s="16" t="s">
        <v>318</v>
      </c>
      <c r="G57" s="16" t="s">
        <v>319</v>
      </c>
      <c r="H57" s="16" t="s">
        <v>320</v>
      </c>
      <c r="I57" s="16" t="s">
        <v>321</v>
      </c>
      <c r="J57" s="16"/>
      <c r="K57" s="16"/>
      <c r="L57" s="16"/>
      <c r="M57" s="16"/>
      <c r="N57" s="16" t="s">
        <v>79</v>
      </c>
    </row>
    <row r="58" spans="1:14" x14ac:dyDescent="0.3">
      <c r="A58" s="16" t="s">
        <v>322</v>
      </c>
      <c r="B58" s="16" t="s">
        <v>28</v>
      </c>
      <c r="C58" s="30">
        <v>46041</v>
      </c>
      <c r="D58" s="30" t="s">
        <v>114</v>
      </c>
      <c r="E58" s="16" t="s">
        <v>323</v>
      </c>
      <c r="F58" s="16" t="s">
        <v>324</v>
      </c>
      <c r="G58" s="16" t="s">
        <v>325</v>
      </c>
      <c r="H58" s="16" t="s">
        <v>326</v>
      </c>
      <c r="I58" s="16" t="s">
        <v>327</v>
      </c>
      <c r="J58" s="16"/>
      <c r="K58" s="16"/>
      <c r="L58" s="16"/>
      <c r="M58" s="16"/>
      <c r="N58" s="16" t="s">
        <v>79</v>
      </c>
    </row>
    <row r="59" spans="1:14" x14ac:dyDescent="0.3">
      <c r="A59" s="16" t="s">
        <v>328</v>
      </c>
      <c r="B59" s="16" t="s">
        <v>28</v>
      </c>
      <c r="C59" s="30">
        <v>46041</v>
      </c>
      <c r="D59" s="30">
        <v>46097</v>
      </c>
      <c r="E59" s="16" t="s">
        <v>329</v>
      </c>
      <c r="F59" s="16" t="s">
        <v>879</v>
      </c>
      <c r="G59" s="16" t="s">
        <v>369</v>
      </c>
      <c r="H59" s="16" t="s">
        <v>880</v>
      </c>
      <c r="I59" s="16" t="s">
        <v>881</v>
      </c>
      <c r="J59" s="16"/>
      <c r="K59" s="16"/>
      <c r="L59" s="16"/>
      <c r="M59" s="16"/>
      <c r="N59" s="16" t="s">
        <v>79</v>
      </c>
    </row>
    <row r="60" spans="1:14" x14ac:dyDescent="0.3">
      <c r="A60" s="16" t="s">
        <v>334</v>
      </c>
      <c r="B60" s="16" t="s">
        <v>28</v>
      </c>
      <c r="C60" s="30">
        <v>46041</v>
      </c>
      <c r="D60" s="30">
        <v>46097</v>
      </c>
      <c r="E60" s="16" t="s">
        <v>335</v>
      </c>
      <c r="F60" s="16" t="s">
        <v>336</v>
      </c>
      <c r="G60" s="16" t="s">
        <v>19</v>
      </c>
      <c r="H60" s="16" t="s">
        <v>337</v>
      </c>
      <c r="I60" s="16" t="s">
        <v>338</v>
      </c>
      <c r="J60" s="16"/>
      <c r="K60" s="16"/>
      <c r="L60" s="16"/>
      <c r="M60" s="16"/>
      <c r="N60" s="16" t="s">
        <v>79</v>
      </c>
    </row>
    <row r="61" spans="1:14" x14ac:dyDescent="0.3">
      <c r="A61" s="16" t="s">
        <v>339</v>
      </c>
      <c r="B61" s="16" t="s">
        <v>28</v>
      </c>
      <c r="C61" s="30">
        <v>46062</v>
      </c>
      <c r="D61" s="30" t="s">
        <v>69</v>
      </c>
      <c r="E61" s="16" t="s">
        <v>340</v>
      </c>
      <c r="F61" s="16" t="s">
        <v>341</v>
      </c>
      <c r="G61" s="16" t="s">
        <v>19</v>
      </c>
      <c r="H61" s="16" t="s">
        <v>342</v>
      </c>
      <c r="I61" s="16" t="s">
        <v>343</v>
      </c>
      <c r="J61" s="16"/>
      <c r="K61" s="16"/>
      <c r="L61" s="16"/>
      <c r="M61" s="16"/>
      <c r="N61" s="16" t="s">
        <v>79</v>
      </c>
    </row>
    <row r="62" spans="1:14" x14ac:dyDescent="0.3">
      <c r="A62" s="16" t="s">
        <v>344</v>
      </c>
      <c r="B62" s="16" t="s">
        <v>28</v>
      </c>
      <c r="C62" s="30">
        <v>46041</v>
      </c>
      <c r="D62" s="30">
        <v>46097</v>
      </c>
      <c r="E62" s="16" t="s">
        <v>345</v>
      </c>
      <c r="F62" s="16" t="s">
        <v>346</v>
      </c>
      <c r="G62" s="16" t="s">
        <v>37</v>
      </c>
      <c r="H62" s="33" t="s">
        <v>347</v>
      </c>
      <c r="I62" s="16" t="s">
        <v>348</v>
      </c>
      <c r="J62" s="16"/>
      <c r="K62" s="16"/>
      <c r="L62" s="16"/>
      <c r="M62" s="16"/>
      <c r="N62" s="16" t="s">
        <v>79</v>
      </c>
    </row>
    <row r="63" spans="1:14" x14ac:dyDescent="0.3">
      <c r="A63" s="16" t="s">
        <v>349</v>
      </c>
      <c r="B63" s="16" t="s">
        <v>28</v>
      </c>
      <c r="C63" s="30">
        <v>46041</v>
      </c>
      <c r="D63" s="30">
        <v>46097</v>
      </c>
      <c r="E63" s="16" t="s">
        <v>350</v>
      </c>
      <c r="F63" s="16" t="s">
        <v>351</v>
      </c>
      <c r="G63" s="16" t="s">
        <v>352</v>
      </c>
      <c r="H63" s="16" t="s">
        <v>353</v>
      </c>
      <c r="I63" s="16" t="s">
        <v>354</v>
      </c>
      <c r="J63" s="16"/>
      <c r="K63" s="16"/>
      <c r="L63" s="16"/>
      <c r="M63" s="16"/>
      <c r="N63" s="16" t="s">
        <v>79</v>
      </c>
    </row>
    <row r="64" spans="1:14" x14ac:dyDescent="0.3">
      <c r="A64" s="16" t="s">
        <v>355</v>
      </c>
      <c r="B64" s="16" t="s">
        <v>28</v>
      </c>
      <c r="C64" s="30">
        <v>46041</v>
      </c>
      <c r="D64" s="30">
        <v>46097</v>
      </c>
      <c r="E64" s="16" t="s">
        <v>356</v>
      </c>
      <c r="F64" s="16" t="s">
        <v>357</v>
      </c>
      <c r="G64" s="16" t="s">
        <v>19</v>
      </c>
      <c r="H64" s="16" t="s">
        <v>358</v>
      </c>
      <c r="I64" s="16" t="s">
        <v>359</v>
      </c>
      <c r="J64" s="16"/>
      <c r="K64" s="16"/>
      <c r="L64" s="16"/>
      <c r="M64" s="16"/>
      <c r="N64" s="16" t="s">
        <v>79</v>
      </c>
    </row>
    <row r="65" spans="1:14" x14ac:dyDescent="0.3">
      <c r="A65" s="16" t="s">
        <v>360</v>
      </c>
      <c r="B65" s="16" t="s">
        <v>28</v>
      </c>
      <c r="C65" s="30">
        <v>46041</v>
      </c>
      <c r="D65" s="30">
        <v>46097</v>
      </c>
      <c r="E65" s="16" t="s">
        <v>361</v>
      </c>
      <c r="F65" s="16" t="s">
        <v>362</v>
      </c>
      <c r="G65" s="16" t="s">
        <v>363</v>
      </c>
      <c r="H65" s="16" t="s">
        <v>364</v>
      </c>
      <c r="I65" s="16" t="s">
        <v>365</v>
      </c>
      <c r="J65" s="16"/>
      <c r="K65" s="16"/>
      <c r="L65" s="16"/>
      <c r="M65" s="16"/>
      <c r="N65" s="16" t="s">
        <v>79</v>
      </c>
    </row>
    <row r="66" spans="1:14" x14ac:dyDescent="0.3">
      <c r="A66" s="16" t="s">
        <v>366</v>
      </c>
      <c r="B66" s="16" t="s">
        <v>28</v>
      </c>
      <c r="C66" s="30">
        <v>46041</v>
      </c>
      <c r="D66" s="30">
        <v>46097</v>
      </c>
      <c r="E66" s="16" t="s">
        <v>367</v>
      </c>
      <c r="F66" s="16" t="s">
        <v>368</v>
      </c>
      <c r="G66" s="16" t="s">
        <v>369</v>
      </c>
      <c r="H66" s="16" t="s">
        <v>370</v>
      </c>
      <c r="I66" s="16" t="s">
        <v>371</v>
      </c>
      <c r="J66" s="16"/>
      <c r="K66" s="16"/>
      <c r="L66" s="16"/>
      <c r="M66" s="16"/>
      <c r="N66" s="16" t="s">
        <v>79</v>
      </c>
    </row>
    <row r="67" spans="1:14" x14ac:dyDescent="0.3">
      <c r="A67" s="16" t="s">
        <v>372</v>
      </c>
      <c r="B67" s="16" t="s">
        <v>373</v>
      </c>
      <c r="C67" s="30">
        <v>46041</v>
      </c>
      <c r="D67" s="30">
        <v>46097</v>
      </c>
      <c r="E67" s="16" t="s">
        <v>374</v>
      </c>
      <c r="F67" s="16" t="s">
        <v>375</v>
      </c>
      <c r="G67" s="16" t="s">
        <v>376</v>
      </c>
      <c r="H67" s="16" t="s">
        <v>377</v>
      </c>
      <c r="I67" s="16" t="s">
        <v>371</v>
      </c>
      <c r="J67" s="16"/>
      <c r="K67" s="16"/>
      <c r="L67" s="16"/>
      <c r="M67" s="16"/>
      <c r="N67" s="16" t="s">
        <v>79</v>
      </c>
    </row>
    <row r="68" spans="1:14" x14ac:dyDescent="0.3">
      <c r="A68" s="16" t="s">
        <v>378</v>
      </c>
      <c r="B68" s="16" t="s">
        <v>16</v>
      </c>
      <c r="C68" s="30">
        <v>46041</v>
      </c>
      <c r="D68" s="30" t="s">
        <v>114</v>
      </c>
      <c r="E68" s="16" t="s">
        <v>379</v>
      </c>
      <c r="F68" s="16" t="s">
        <v>380</v>
      </c>
      <c r="G68" s="16" t="s">
        <v>49</v>
      </c>
      <c r="H68" s="16" t="s">
        <v>381</v>
      </c>
      <c r="I68" s="16" t="s">
        <v>382</v>
      </c>
      <c r="J68" s="16"/>
      <c r="K68" s="16"/>
      <c r="L68" s="16"/>
      <c r="M68" s="16"/>
      <c r="N68" s="16" t="s">
        <v>102</v>
      </c>
    </row>
    <row r="69" spans="1:14" x14ac:dyDescent="0.3">
      <c r="A69" s="16" t="s">
        <v>786</v>
      </c>
      <c r="B69" s="16" t="s">
        <v>28</v>
      </c>
      <c r="C69" s="30">
        <v>46058</v>
      </c>
      <c r="D69" s="30">
        <v>46114</v>
      </c>
      <c r="E69" s="16" t="s">
        <v>787</v>
      </c>
      <c r="F69" s="16" t="s">
        <v>783</v>
      </c>
      <c r="G69" s="16" t="s">
        <v>49</v>
      </c>
      <c r="H69" s="16" t="s">
        <v>785</v>
      </c>
      <c r="I69" s="16" t="s">
        <v>784</v>
      </c>
      <c r="J69" s="16"/>
      <c r="K69" s="16"/>
      <c r="L69" s="16"/>
      <c r="M69" s="16"/>
      <c r="N69" s="16" t="s">
        <v>788</v>
      </c>
    </row>
    <row r="70" spans="1:14" x14ac:dyDescent="0.3">
      <c r="A70" s="16" t="s">
        <v>793</v>
      </c>
      <c r="B70" s="16" t="s">
        <v>16</v>
      </c>
      <c r="C70" s="30">
        <v>46062</v>
      </c>
      <c r="D70" s="30">
        <v>46120</v>
      </c>
      <c r="E70" s="16" t="s">
        <v>795</v>
      </c>
      <c r="F70" s="16" t="s">
        <v>796</v>
      </c>
      <c r="G70" s="16" t="s">
        <v>49</v>
      </c>
      <c r="H70" s="16" t="s">
        <v>794</v>
      </c>
      <c r="I70" s="16" t="s">
        <v>797</v>
      </c>
      <c r="J70" s="16"/>
      <c r="K70" s="16"/>
      <c r="L70" s="16"/>
      <c r="M70" s="16"/>
      <c r="N70" s="16" t="s">
        <v>102</v>
      </c>
    </row>
    <row r="71" spans="1:14" x14ac:dyDescent="0.3">
      <c r="A71" s="16" t="s">
        <v>798</v>
      </c>
      <c r="B71" s="16" t="s">
        <v>16</v>
      </c>
      <c r="C71" s="30">
        <v>46064</v>
      </c>
      <c r="D71" s="30">
        <v>46120</v>
      </c>
      <c r="E71" s="16" t="s">
        <v>802</v>
      </c>
      <c r="F71" s="16" t="s">
        <v>799</v>
      </c>
      <c r="G71" s="16" t="s">
        <v>19</v>
      </c>
      <c r="H71" s="16" t="s">
        <v>800</v>
      </c>
      <c r="I71" s="16" t="s">
        <v>801</v>
      </c>
      <c r="J71" s="16"/>
      <c r="K71" s="16"/>
      <c r="L71" s="16"/>
      <c r="M71" s="16"/>
      <c r="N71" s="16" t="s">
        <v>26</v>
      </c>
    </row>
    <row r="72" spans="1:14" x14ac:dyDescent="0.3">
      <c r="A72" s="16" t="s">
        <v>803</v>
      </c>
      <c r="B72" s="16" t="s">
        <v>804</v>
      </c>
      <c r="C72" s="30">
        <v>46065</v>
      </c>
      <c r="D72" s="30">
        <v>46121</v>
      </c>
      <c r="E72" s="16" t="s">
        <v>807</v>
      </c>
      <c r="F72" s="16" t="s">
        <v>806</v>
      </c>
      <c r="G72" s="16" t="s">
        <v>49</v>
      </c>
      <c r="H72" s="16" t="s">
        <v>805</v>
      </c>
      <c r="I72" s="16" t="s">
        <v>816</v>
      </c>
      <c r="J72" s="16"/>
      <c r="K72" s="16"/>
      <c r="L72" s="16"/>
      <c r="M72" s="16"/>
      <c r="N72" s="16" t="s">
        <v>79</v>
      </c>
    </row>
    <row r="73" spans="1:14" x14ac:dyDescent="0.3">
      <c r="A73" s="16" t="s">
        <v>810</v>
      </c>
      <c r="B73" s="16" t="s">
        <v>812</v>
      </c>
      <c r="C73" s="30">
        <v>46065</v>
      </c>
      <c r="D73" s="30" t="s">
        <v>114</v>
      </c>
      <c r="E73" s="16" t="s">
        <v>817</v>
      </c>
      <c r="F73" s="16" t="s">
        <v>814</v>
      </c>
      <c r="G73" s="16" t="s">
        <v>49</v>
      </c>
      <c r="H73" s="16" t="s">
        <v>813</v>
      </c>
      <c r="I73" s="16" t="s">
        <v>815</v>
      </c>
      <c r="J73" s="16"/>
      <c r="K73" s="16"/>
      <c r="L73" s="16"/>
      <c r="M73" s="16"/>
      <c r="N73" s="16" t="s">
        <v>788</v>
      </c>
    </row>
    <row r="74" spans="1:14" x14ac:dyDescent="0.3">
      <c r="A74" s="16" t="s">
        <v>872</v>
      </c>
      <c r="B74" s="16" t="s">
        <v>16</v>
      </c>
      <c r="C74" s="30">
        <v>46079</v>
      </c>
      <c r="D74" s="30">
        <v>46149</v>
      </c>
      <c r="E74" s="16" t="s">
        <v>845</v>
      </c>
      <c r="F74" s="16" t="s">
        <v>874</v>
      </c>
      <c r="G74" s="16" t="s">
        <v>873</v>
      </c>
      <c r="H74" s="16" t="s">
        <v>870</v>
      </c>
      <c r="I74" s="16" t="s">
        <v>871</v>
      </c>
      <c r="J74" s="16"/>
      <c r="K74" s="16"/>
      <c r="L74" s="16"/>
      <c r="M74" s="16"/>
      <c r="N74" s="16" t="s">
        <v>102</v>
      </c>
    </row>
    <row r="75" spans="1:14" x14ac:dyDescent="0.3">
      <c r="A75" s="16" t="s">
        <v>897</v>
      </c>
      <c r="B75" s="16" t="s">
        <v>182</v>
      </c>
      <c r="C75" s="30">
        <v>46106</v>
      </c>
      <c r="D75" s="30" t="s">
        <v>114</v>
      </c>
      <c r="E75" s="16" t="s">
        <v>898</v>
      </c>
      <c r="F75" s="16" t="s">
        <v>936</v>
      </c>
      <c r="G75" s="16" t="s">
        <v>937</v>
      </c>
      <c r="H75" s="16" t="s">
        <v>938</v>
      </c>
      <c r="I75" s="16" t="s">
        <v>939</v>
      </c>
      <c r="J75" s="16"/>
      <c r="K75" s="16"/>
      <c r="L75" s="16"/>
      <c r="M75" s="16"/>
      <c r="N75" s="16" t="s">
        <v>788</v>
      </c>
    </row>
  </sheetData>
  <autoFilter ref="A5:N75" xr:uid="{6A4B7FD6-579B-4496-AE3A-DF84D0A3BCDA}"/>
  <conditionalFormatting sqref="A6:A1048576">
    <cfRule type="duplicateValues" dxfId="18" priority="2"/>
  </conditionalFormatting>
  <conditionalFormatting sqref="E6:E1048576">
    <cfRule type="duplicateValues" dxfId="17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EA4A4-EA88-4100-9CE4-58BA65D723B6}">
  <sheetPr>
    <tabColor rgb="FF00B050"/>
  </sheetPr>
  <dimension ref="A1:T67"/>
  <sheetViews>
    <sheetView workbookViewId="0">
      <selection activeCell="A67" sqref="A67"/>
    </sheetView>
  </sheetViews>
  <sheetFormatPr defaultColWidth="8.7265625" defaultRowHeight="12" outlineLevelCol="1" x14ac:dyDescent="0.3"/>
  <cols>
    <col min="1" max="1" width="43.36328125" style="1" bestFit="1" customWidth="1"/>
    <col min="2" max="2" width="7.453125" style="1" bestFit="1" customWidth="1"/>
    <col min="3" max="3" width="13.26953125" style="1" bestFit="1" customWidth="1"/>
    <col min="4" max="4" width="15.36328125" style="1" bestFit="1" customWidth="1"/>
    <col min="5" max="5" width="25.453125" style="1" customWidth="1" outlineLevel="1"/>
    <col min="6" max="6" width="20.08984375" style="29" customWidth="1" outlineLevel="1"/>
    <col min="7" max="7" width="13.6328125" style="29" customWidth="1" outlineLevel="1"/>
    <col min="8" max="8" width="12.90625" style="29" customWidth="1" outlineLevel="1"/>
    <col min="9" max="9" width="26.36328125" style="1" customWidth="1"/>
    <col min="10" max="10" width="17.08984375" style="1" bestFit="1" customWidth="1"/>
    <col min="11" max="11" width="19.7265625" style="1" bestFit="1" customWidth="1"/>
    <col min="12" max="12" width="25.7265625" style="1" bestFit="1" customWidth="1"/>
    <col min="13" max="13" width="48.6328125" style="1" bestFit="1" customWidth="1"/>
    <col min="14" max="14" width="17.81640625" style="1" bestFit="1" customWidth="1"/>
    <col min="15" max="15" width="14.6328125" style="1" bestFit="1" customWidth="1"/>
    <col min="16" max="16" width="28.26953125" style="1" bestFit="1" customWidth="1"/>
    <col min="17" max="17" width="45" style="1" bestFit="1" customWidth="1"/>
    <col min="18" max="18" width="18.453125" style="1" bestFit="1" customWidth="1"/>
    <col min="19" max="19" width="27.6328125" style="1" bestFit="1" customWidth="1"/>
    <col min="20" max="20" width="20.08984375" style="1" bestFit="1" customWidth="1" collapsed="1"/>
    <col min="21" max="16384" width="8.7265625" style="1"/>
  </cols>
  <sheetData>
    <row r="1" spans="1:20" x14ac:dyDescent="0.3">
      <c r="A1" s="2" t="s">
        <v>0</v>
      </c>
    </row>
    <row r="2" spans="1:20" x14ac:dyDescent="0.3">
      <c r="A2" s="1" t="s">
        <v>383</v>
      </c>
      <c r="B2" s="1">
        <v>90.26</v>
      </c>
    </row>
    <row r="3" spans="1:20" x14ac:dyDescent="0.3">
      <c r="A3" s="1" t="s">
        <v>384</v>
      </c>
    </row>
    <row r="4" spans="1:20" x14ac:dyDescent="0.3">
      <c r="A4" s="1">
        <f>COUNTA(A8:A1048576)</f>
        <v>60</v>
      </c>
    </row>
    <row r="7" spans="1:20" x14ac:dyDescent="0.3">
      <c r="A7" s="14" t="s">
        <v>1</v>
      </c>
      <c r="B7" s="14" t="s">
        <v>2</v>
      </c>
      <c r="C7" s="14" t="s">
        <v>3</v>
      </c>
      <c r="D7" s="14" t="s">
        <v>4</v>
      </c>
      <c r="E7" s="14" t="s">
        <v>385</v>
      </c>
      <c r="F7" s="14" t="s">
        <v>386</v>
      </c>
      <c r="G7" s="14" t="s">
        <v>387</v>
      </c>
      <c r="H7" s="14" t="s">
        <v>388</v>
      </c>
      <c r="I7" s="14" t="s">
        <v>5</v>
      </c>
      <c r="J7" s="14" t="s">
        <v>6</v>
      </c>
      <c r="K7" s="14" t="s">
        <v>7</v>
      </c>
      <c r="L7" s="14" t="s">
        <v>8</v>
      </c>
      <c r="M7" s="14" t="s">
        <v>9</v>
      </c>
      <c r="N7" s="14" t="s">
        <v>10</v>
      </c>
      <c r="O7" s="14" t="s">
        <v>11</v>
      </c>
      <c r="P7" s="14" t="s">
        <v>12</v>
      </c>
      <c r="Q7" s="14" t="s">
        <v>13</v>
      </c>
      <c r="R7" s="14" t="s">
        <v>393</v>
      </c>
      <c r="S7" s="14" t="s">
        <v>394</v>
      </c>
      <c r="T7" s="14" t="s">
        <v>14</v>
      </c>
    </row>
    <row r="8" spans="1:20" x14ac:dyDescent="0.3">
      <c r="A8" s="16" t="s">
        <v>395</v>
      </c>
      <c r="B8" s="16" t="s">
        <v>16</v>
      </c>
      <c r="C8" s="30">
        <v>46056</v>
      </c>
      <c r="D8" s="30">
        <v>46112</v>
      </c>
      <c r="E8" s="16" t="s">
        <v>396</v>
      </c>
      <c r="F8" s="31">
        <v>2811</v>
      </c>
      <c r="G8" s="31">
        <f>F8/10</f>
        <v>281.10000000000002</v>
      </c>
      <c r="H8" s="32">
        <v>2893</v>
      </c>
      <c r="I8" s="16" t="s">
        <v>397</v>
      </c>
      <c r="J8" s="16" t="s">
        <v>398</v>
      </c>
      <c r="K8" s="16" t="s">
        <v>258</v>
      </c>
      <c r="L8" s="16" t="s">
        <v>399</v>
      </c>
      <c r="M8" s="16" t="s">
        <v>400</v>
      </c>
      <c r="N8" s="16"/>
      <c r="O8" s="16"/>
      <c r="P8" s="16"/>
      <c r="Q8" s="16"/>
      <c r="R8" s="16" t="s">
        <v>34</v>
      </c>
      <c r="S8" s="16" t="s">
        <v>35</v>
      </c>
      <c r="T8" s="16" t="s">
        <v>401</v>
      </c>
    </row>
    <row r="9" spans="1:20" x14ac:dyDescent="0.3">
      <c r="A9" s="16" t="s">
        <v>402</v>
      </c>
      <c r="B9" s="16" t="s">
        <v>16</v>
      </c>
      <c r="C9" s="30">
        <v>46062</v>
      </c>
      <c r="D9" s="30" t="s">
        <v>114</v>
      </c>
      <c r="E9" s="16" t="s">
        <v>396</v>
      </c>
      <c r="F9" s="31">
        <v>2349</v>
      </c>
      <c r="G9" s="31">
        <f>F9/10</f>
        <v>234.9</v>
      </c>
      <c r="H9" s="32">
        <v>492</v>
      </c>
      <c r="I9" s="16" t="s">
        <v>403</v>
      </c>
      <c r="J9" s="16" t="s">
        <v>404</v>
      </c>
      <c r="K9" s="16" t="s">
        <v>405</v>
      </c>
      <c r="L9" s="16" t="s">
        <v>406</v>
      </c>
      <c r="M9" s="16" t="s">
        <v>407</v>
      </c>
      <c r="N9" s="16"/>
      <c r="O9" s="16"/>
      <c r="P9" s="16"/>
      <c r="Q9" s="16"/>
      <c r="R9" s="16" t="s">
        <v>40</v>
      </c>
      <c r="S9" s="16" t="s">
        <v>41</v>
      </c>
      <c r="T9" s="16" t="s">
        <v>401</v>
      </c>
    </row>
    <row r="10" spans="1:20" x14ac:dyDescent="0.3">
      <c r="A10" s="16" t="s">
        <v>408</v>
      </c>
      <c r="B10" s="16" t="s">
        <v>28</v>
      </c>
      <c r="C10" s="30">
        <v>46062</v>
      </c>
      <c r="D10" s="30" t="s">
        <v>886</v>
      </c>
      <c r="E10" s="16" t="s">
        <v>396</v>
      </c>
      <c r="F10" s="31">
        <v>273</v>
      </c>
      <c r="G10" s="31">
        <f t="shared" ref="G10:G40" si="0">(F10*1000000*$B$2)/10000000</f>
        <v>2464.098</v>
      </c>
      <c r="H10" s="32">
        <v>2381</v>
      </c>
      <c r="I10" s="16" t="s">
        <v>409</v>
      </c>
      <c r="J10" s="16" t="s">
        <v>410</v>
      </c>
      <c r="K10" s="16" t="s">
        <v>411</v>
      </c>
      <c r="L10" s="16" t="s">
        <v>412</v>
      </c>
      <c r="M10" s="16" t="s">
        <v>413</v>
      </c>
      <c r="N10" s="16"/>
      <c r="O10" s="16"/>
      <c r="P10" s="16"/>
      <c r="Q10" s="16"/>
      <c r="R10" s="16" t="s">
        <v>15</v>
      </c>
      <c r="S10" s="16" t="s">
        <v>17</v>
      </c>
      <c r="T10" s="16" t="s">
        <v>401</v>
      </c>
    </row>
    <row r="11" spans="1:20" x14ac:dyDescent="0.3">
      <c r="A11" s="16" t="s">
        <v>414</v>
      </c>
      <c r="B11" s="16" t="s">
        <v>28</v>
      </c>
      <c r="C11" s="30">
        <v>46062</v>
      </c>
      <c r="D11" s="30">
        <v>46120</v>
      </c>
      <c r="E11" s="16" t="s">
        <v>396</v>
      </c>
      <c r="F11" s="31">
        <v>200</v>
      </c>
      <c r="G11" s="31">
        <f t="shared" si="0"/>
        <v>1805.2</v>
      </c>
      <c r="H11" s="32">
        <v>137</v>
      </c>
      <c r="I11" s="16" t="s">
        <v>415</v>
      </c>
      <c r="J11" s="16" t="s">
        <v>416</v>
      </c>
      <c r="K11" s="16" t="s">
        <v>417</v>
      </c>
      <c r="L11" s="16" t="s">
        <v>418</v>
      </c>
      <c r="M11" s="16" t="s">
        <v>419</v>
      </c>
      <c r="N11" s="16"/>
      <c r="O11" s="16"/>
      <c r="P11" s="16"/>
      <c r="Q11" s="16"/>
      <c r="R11" s="16" t="s">
        <v>27</v>
      </c>
      <c r="S11" s="16" t="s">
        <v>29</v>
      </c>
      <c r="T11" s="16" t="s">
        <v>401</v>
      </c>
    </row>
    <row r="12" spans="1:20" x14ac:dyDescent="0.3">
      <c r="A12" s="16" t="s">
        <v>420</v>
      </c>
      <c r="B12" s="16" t="s">
        <v>28</v>
      </c>
      <c r="C12" s="30">
        <v>46062</v>
      </c>
      <c r="D12" s="30">
        <v>46120</v>
      </c>
      <c r="E12" s="16" t="s">
        <v>396</v>
      </c>
      <c r="F12" s="31">
        <v>21</v>
      </c>
      <c r="G12" s="31">
        <f t="shared" si="0"/>
        <v>189.54599999999999</v>
      </c>
      <c r="H12" s="32">
        <v>28</v>
      </c>
      <c r="I12" s="16" t="s">
        <v>421</v>
      </c>
      <c r="J12" s="16" t="s">
        <v>422</v>
      </c>
      <c r="K12" s="16" t="s">
        <v>49</v>
      </c>
      <c r="L12" s="16" t="s">
        <v>423</v>
      </c>
      <c r="M12" s="16" t="s">
        <v>424</v>
      </c>
      <c r="N12" s="16"/>
      <c r="O12" s="16"/>
      <c r="P12" s="16"/>
      <c r="Q12" s="16"/>
      <c r="R12" s="16" t="s">
        <v>46</v>
      </c>
      <c r="S12" s="16" t="s">
        <v>47</v>
      </c>
      <c r="T12" s="16" t="s">
        <v>401</v>
      </c>
    </row>
    <row r="13" spans="1:20" x14ac:dyDescent="0.3">
      <c r="A13" s="16" t="s">
        <v>425</v>
      </c>
      <c r="B13" s="16" t="s">
        <v>28</v>
      </c>
      <c r="C13" s="30">
        <v>46062</v>
      </c>
      <c r="D13" s="30">
        <v>46120</v>
      </c>
      <c r="E13" s="16" t="s">
        <v>396</v>
      </c>
      <c r="F13" s="31">
        <v>57</v>
      </c>
      <c r="G13" s="31">
        <f t="shared" si="0"/>
        <v>514.48199999999997</v>
      </c>
      <c r="H13" s="32">
        <v>253</v>
      </c>
      <c r="I13" s="16" t="s">
        <v>426</v>
      </c>
      <c r="J13" s="16" t="s">
        <v>427</v>
      </c>
      <c r="K13" s="16" t="s">
        <v>428</v>
      </c>
      <c r="L13" s="16" t="s">
        <v>429</v>
      </c>
      <c r="M13" s="16" t="s">
        <v>430</v>
      </c>
      <c r="N13" s="16"/>
      <c r="O13" s="16"/>
      <c r="P13" s="16"/>
      <c r="Q13" s="16"/>
      <c r="R13" s="16" t="s">
        <v>52</v>
      </c>
      <c r="S13" s="16" t="s">
        <v>53</v>
      </c>
      <c r="T13" s="16" t="s">
        <v>401</v>
      </c>
    </row>
    <row r="14" spans="1:20" x14ac:dyDescent="0.3">
      <c r="A14" s="16" t="s">
        <v>431</v>
      </c>
      <c r="B14" s="16" t="s">
        <v>28</v>
      </c>
      <c r="C14" s="30">
        <v>46062</v>
      </c>
      <c r="D14" s="30">
        <v>46120</v>
      </c>
      <c r="E14" s="16" t="s">
        <v>396</v>
      </c>
      <c r="F14" s="31">
        <v>37</v>
      </c>
      <c r="G14" s="31">
        <f t="shared" si="0"/>
        <v>333.96199999999999</v>
      </c>
      <c r="H14" s="32">
        <v>514</v>
      </c>
      <c r="I14" s="16" t="s">
        <v>432</v>
      </c>
      <c r="J14" s="16" t="s">
        <v>433</v>
      </c>
      <c r="K14" s="16" t="s">
        <v>428</v>
      </c>
      <c r="L14" s="16" t="s">
        <v>434</v>
      </c>
      <c r="M14" s="16" t="s">
        <v>435</v>
      </c>
      <c r="N14" s="16"/>
      <c r="O14" s="16"/>
      <c r="P14" s="16"/>
      <c r="Q14" s="16"/>
      <c r="R14" s="16" t="s">
        <v>57</v>
      </c>
      <c r="S14" s="16" t="s">
        <v>58</v>
      </c>
      <c r="T14" s="16" t="s">
        <v>401</v>
      </c>
    </row>
    <row r="15" spans="1:20" x14ac:dyDescent="0.3">
      <c r="A15" s="16" t="s">
        <v>436</v>
      </c>
      <c r="B15" s="16" t="s">
        <v>28</v>
      </c>
      <c r="C15" s="30">
        <v>46062</v>
      </c>
      <c r="D15" s="30">
        <v>46120</v>
      </c>
      <c r="E15" s="16" t="s">
        <v>396</v>
      </c>
      <c r="F15" s="31">
        <v>75</v>
      </c>
      <c r="G15" s="31">
        <f t="shared" si="0"/>
        <v>676.95</v>
      </c>
      <c r="H15" s="32">
        <v>786</v>
      </c>
      <c r="I15" s="16" t="s">
        <v>437</v>
      </c>
      <c r="J15" s="16" t="s">
        <v>438</v>
      </c>
      <c r="K15" s="16" t="s">
        <v>439</v>
      </c>
      <c r="L15" s="16" t="s">
        <v>440</v>
      </c>
      <c r="M15" s="16" t="s">
        <v>441</v>
      </c>
      <c r="N15" s="16"/>
      <c r="O15" s="16"/>
      <c r="P15" s="16"/>
      <c r="Q15" s="16"/>
      <c r="R15" s="16" t="s">
        <v>62</v>
      </c>
      <c r="S15" s="16" t="s">
        <v>63</v>
      </c>
      <c r="T15" s="16" t="s">
        <v>401</v>
      </c>
    </row>
    <row r="16" spans="1:20" x14ac:dyDescent="0.3">
      <c r="A16" s="16" t="s">
        <v>442</v>
      </c>
      <c r="B16" s="16" t="s">
        <v>28</v>
      </c>
      <c r="C16" s="30">
        <v>46062</v>
      </c>
      <c r="D16" s="30">
        <v>46120</v>
      </c>
      <c r="E16" s="16" t="s">
        <v>396</v>
      </c>
      <c r="F16" s="31">
        <v>56</v>
      </c>
      <c r="G16" s="31">
        <f t="shared" si="0"/>
        <v>505.45600000000002</v>
      </c>
      <c r="H16" s="32">
        <v>693</v>
      </c>
      <c r="I16" s="16" t="s">
        <v>443</v>
      </c>
      <c r="J16" s="16" t="s">
        <v>444</v>
      </c>
      <c r="K16" s="16" t="s">
        <v>258</v>
      </c>
      <c r="L16" s="16" t="s">
        <v>445</v>
      </c>
      <c r="M16" s="16" t="s">
        <v>446</v>
      </c>
      <c r="N16" s="16"/>
      <c r="O16" s="16"/>
      <c r="P16" s="16"/>
      <c r="Q16" s="16"/>
      <c r="R16" s="16" t="s">
        <v>68</v>
      </c>
      <c r="S16" s="16" t="s">
        <v>70</v>
      </c>
      <c r="T16" s="16" t="s">
        <v>401</v>
      </c>
    </row>
    <row r="17" spans="1:20" x14ac:dyDescent="0.3">
      <c r="A17" s="16" t="s">
        <v>447</v>
      </c>
      <c r="B17" s="16" t="s">
        <v>28</v>
      </c>
      <c r="C17" s="30">
        <v>46062</v>
      </c>
      <c r="D17" s="30" t="s">
        <v>114</v>
      </c>
      <c r="E17" s="16" t="s">
        <v>448</v>
      </c>
      <c r="F17" s="31">
        <v>400</v>
      </c>
      <c r="G17" s="31">
        <f t="shared" si="0"/>
        <v>3610.4</v>
      </c>
      <c r="H17" s="32">
        <v>1936</v>
      </c>
      <c r="I17" s="16" t="s">
        <v>449</v>
      </c>
      <c r="J17" s="16" t="s">
        <v>450</v>
      </c>
      <c r="K17" s="16" t="s">
        <v>451</v>
      </c>
      <c r="L17" s="16" t="s">
        <v>452</v>
      </c>
      <c r="M17" s="16" t="s">
        <v>453</v>
      </c>
      <c r="N17" s="16"/>
      <c r="O17" s="16"/>
      <c r="P17" s="16"/>
      <c r="Q17" s="16"/>
      <c r="R17" s="16" t="s">
        <v>27</v>
      </c>
      <c r="S17" s="16" t="s">
        <v>29</v>
      </c>
      <c r="T17" s="16" t="s">
        <v>454</v>
      </c>
    </row>
    <row r="18" spans="1:20" x14ac:dyDescent="0.3">
      <c r="A18" s="16" t="s">
        <v>455</v>
      </c>
      <c r="B18" s="16" t="s">
        <v>28</v>
      </c>
      <c r="C18" s="30">
        <v>46064</v>
      </c>
      <c r="D18" s="30">
        <v>46120</v>
      </c>
      <c r="E18" s="16" t="s">
        <v>456</v>
      </c>
      <c r="F18" s="31">
        <v>237</v>
      </c>
      <c r="G18" s="31">
        <f t="shared" si="0"/>
        <v>2139.1619999999998</v>
      </c>
      <c r="H18" s="32">
        <v>2429</v>
      </c>
      <c r="I18" s="16" t="s">
        <v>457</v>
      </c>
      <c r="J18" s="16" t="s">
        <v>458</v>
      </c>
      <c r="K18" s="16" t="s">
        <v>459</v>
      </c>
      <c r="L18" s="16" t="s">
        <v>460</v>
      </c>
      <c r="M18" s="16" t="s">
        <v>461</v>
      </c>
      <c r="N18" s="16"/>
      <c r="O18" s="16"/>
      <c r="P18" s="16"/>
      <c r="Q18" s="16"/>
      <c r="R18" s="16" t="s">
        <v>245</v>
      </c>
      <c r="S18" s="16" t="s">
        <v>246</v>
      </c>
      <c r="T18" s="16" t="s">
        <v>462</v>
      </c>
    </row>
    <row r="19" spans="1:20" x14ac:dyDescent="0.3">
      <c r="A19" s="16" t="s">
        <v>463</v>
      </c>
      <c r="B19" s="16" t="s">
        <v>28</v>
      </c>
      <c r="C19" s="30">
        <v>46064</v>
      </c>
      <c r="D19" s="30">
        <v>46120</v>
      </c>
      <c r="E19" s="16" t="s">
        <v>456</v>
      </c>
      <c r="F19" s="31">
        <v>250</v>
      </c>
      <c r="G19" s="31">
        <f t="shared" si="0"/>
        <v>2256.5</v>
      </c>
      <c r="H19" s="32">
        <v>344</v>
      </c>
      <c r="I19" s="16" t="s">
        <v>464</v>
      </c>
      <c r="J19" s="16" t="s">
        <v>465</v>
      </c>
      <c r="K19" s="16" t="s">
        <v>258</v>
      </c>
      <c r="L19" s="16" t="s">
        <v>466</v>
      </c>
      <c r="M19" s="16" t="s">
        <v>467</v>
      </c>
      <c r="N19" s="16"/>
      <c r="O19" s="16"/>
      <c r="P19" s="16"/>
      <c r="Q19" s="16"/>
      <c r="R19" s="16" t="s">
        <v>250</v>
      </c>
      <c r="S19" s="16" t="s">
        <v>251</v>
      </c>
      <c r="T19" s="16" t="s">
        <v>462</v>
      </c>
    </row>
    <row r="20" spans="1:20" x14ac:dyDescent="0.3">
      <c r="A20" s="16" t="s">
        <v>468</v>
      </c>
      <c r="B20" s="16" t="s">
        <v>28</v>
      </c>
      <c r="C20" s="30">
        <v>46064</v>
      </c>
      <c r="D20" s="30" t="s">
        <v>940</v>
      </c>
      <c r="E20" s="16" t="s">
        <v>456</v>
      </c>
      <c r="F20" s="31">
        <v>73</v>
      </c>
      <c r="G20" s="31">
        <f t="shared" si="0"/>
        <v>658.89800000000002</v>
      </c>
      <c r="H20" s="32">
        <v>1181</v>
      </c>
      <c r="I20" s="16" t="s">
        <v>469</v>
      </c>
      <c r="J20" s="16" t="s">
        <v>470</v>
      </c>
      <c r="K20" s="16" t="s">
        <v>451</v>
      </c>
      <c r="L20" s="16" t="s">
        <v>471</v>
      </c>
      <c r="M20" s="16" t="s">
        <v>472</v>
      </c>
      <c r="N20" s="16"/>
      <c r="O20" s="16"/>
      <c r="P20" s="16"/>
      <c r="Q20" s="16"/>
      <c r="R20" s="16" t="s">
        <v>250</v>
      </c>
      <c r="S20" s="16" t="s">
        <v>251</v>
      </c>
      <c r="T20" s="16" t="s">
        <v>462</v>
      </c>
    </row>
    <row r="21" spans="1:20" x14ac:dyDescent="0.3">
      <c r="A21" s="16" t="s">
        <v>473</v>
      </c>
      <c r="B21" s="16" t="s">
        <v>28</v>
      </c>
      <c r="C21" s="30">
        <v>46064</v>
      </c>
      <c r="D21" s="30" t="s">
        <v>114</v>
      </c>
      <c r="E21" s="16" t="s">
        <v>456</v>
      </c>
      <c r="F21" s="31">
        <v>58</v>
      </c>
      <c r="G21" s="31">
        <f t="shared" si="0"/>
        <v>523.50800000000004</v>
      </c>
      <c r="H21" s="32">
        <v>477</v>
      </c>
      <c r="I21" s="16" t="s">
        <v>474</v>
      </c>
      <c r="J21" s="16" t="s">
        <v>475</v>
      </c>
      <c r="K21" s="16" t="s">
        <v>476</v>
      </c>
      <c r="L21" s="16" t="s">
        <v>477</v>
      </c>
      <c r="M21" s="16" t="s">
        <v>478</v>
      </c>
      <c r="N21" s="16"/>
      <c r="O21" s="16"/>
      <c r="P21" s="16"/>
      <c r="Q21" s="16"/>
      <c r="R21" s="16" t="s">
        <v>255</v>
      </c>
      <c r="S21" s="16" t="s">
        <v>256</v>
      </c>
      <c r="T21" s="16" t="s">
        <v>462</v>
      </c>
    </row>
    <row r="22" spans="1:20" x14ac:dyDescent="0.3">
      <c r="A22" s="16" t="s">
        <v>479</v>
      </c>
      <c r="B22" s="16" t="s">
        <v>28</v>
      </c>
      <c r="C22" s="30">
        <v>46064</v>
      </c>
      <c r="D22" s="30" t="s">
        <v>114</v>
      </c>
      <c r="E22" s="16" t="s">
        <v>456</v>
      </c>
      <c r="F22" s="31">
        <v>31</v>
      </c>
      <c r="G22" s="31">
        <f t="shared" si="0"/>
        <v>279.80599999999998</v>
      </c>
      <c r="H22" s="32">
        <v>335</v>
      </c>
      <c r="I22" s="16" t="s">
        <v>480</v>
      </c>
      <c r="J22" s="16" t="s">
        <v>481</v>
      </c>
      <c r="K22" s="16" t="s">
        <v>258</v>
      </c>
      <c r="L22" s="16" t="s">
        <v>482</v>
      </c>
      <c r="M22" s="16" t="s">
        <v>483</v>
      </c>
      <c r="N22" s="16"/>
      <c r="O22" s="16"/>
      <c r="P22" s="16"/>
      <c r="Q22" s="16"/>
      <c r="R22" s="16" t="s">
        <v>261</v>
      </c>
      <c r="S22" s="16" t="s">
        <v>262</v>
      </c>
      <c r="T22" s="16" t="s">
        <v>462</v>
      </c>
    </row>
    <row r="23" spans="1:20" x14ac:dyDescent="0.3">
      <c r="A23" s="16" t="s">
        <v>849</v>
      </c>
      <c r="B23" s="16" t="s">
        <v>28</v>
      </c>
      <c r="C23" s="30">
        <v>46064</v>
      </c>
      <c r="D23" s="30" t="s">
        <v>114</v>
      </c>
      <c r="E23" s="16" t="s">
        <v>456</v>
      </c>
      <c r="F23" s="31">
        <v>66</v>
      </c>
      <c r="G23" s="31">
        <f t="shared" si="0"/>
        <v>595.71600000000001</v>
      </c>
      <c r="H23" s="32">
        <v>446</v>
      </c>
      <c r="I23" s="16" t="s">
        <v>484</v>
      </c>
      <c r="J23" s="16" t="s">
        <v>485</v>
      </c>
      <c r="K23" s="1" t="s">
        <v>451</v>
      </c>
      <c r="L23" s="16" t="s">
        <v>486</v>
      </c>
      <c r="M23" s="16" t="s">
        <v>487</v>
      </c>
      <c r="N23" s="16"/>
      <c r="O23" s="16"/>
      <c r="P23" s="16"/>
      <c r="Q23" s="16"/>
      <c r="R23" s="16" t="s">
        <v>267</v>
      </c>
      <c r="S23" s="16" t="s">
        <v>268</v>
      </c>
      <c r="T23" s="16" t="s">
        <v>462</v>
      </c>
    </row>
    <row r="24" spans="1:20" x14ac:dyDescent="0.3">
      <c r="A24" s="16" t="s">
        <v>488</v>
      </c>
      <c r="B24" s="16" t="s">
        <v>28</v>
      </c>
      <c r="C24" s="30">
        <v>46064</v>
      </c>
      <c r="D24" s="30" t="s">
        <v>838</v>
      </c>
      <c r="E24" s="16" t="s">
        <v>456</v>
      </c>
      <c r="F24" s="31">
        <v>28</v>
      </c>
      <c r="G24" s="31">
        <f t="shared" si="0"/>
        <v>252.72800000000001</v>
      </c>
      <c r="H24" s="32">
        <v>240</v>
      </c>
      <c r="I24" s="16" t="s">
        <v>489</v>
      </c>
      <c r="J24" s="16" t="s">
        <v>490</v>
      </c>
      <c r="K24" s="16" t="s">
        <v>258</v>
      </c>
      <c r="L24" s="16" t="s">
        <v>491</v>
      </c>
      <c r="M24" s="16" t="s">
        <v>492</v>
      </c>
      <c r="N24" s="16"/>
      <c r="O24" s="16"/>
      <c r="P24" s="16"/>
      <c r="Q24" s="16"/>
      <c r="R24" s="16" t="s">
        <v>272</v>
      </c>
      <c r="S24" s="16" t="s">
        <v>273</v>
      </c>
      <c r="T24" s="16" t="s">
        <v>462</v>
      </c>
    </row>
    <row r="25" spans="1:20" x14ac:dyDescent="0.3">
      <c r="A25" s="16" t="s">
        <v>493</v>
      </c>
      <c r="B25" s="16" t="s">
        <v>28</v>
      </c>
      <c r="C25" s="30">
        <v>46064</v>
      </c>
      <c r="D25" s="30">
        <v>46120</v>
      </c>
      <c r="E25" s="16" t="s">
        <v>456</v>
      </c>
      <c r="F25" s="31">
        <v>66</v>
      </c>
      <c r="G25" s="31">
        <f t="shared" si="0"/>
        <v>595.71600000000001</v>
      </c>
      <c r="H25" s="32">
        <v>578</v>
      </c>
      <c r="I25" s="16" t="s">
        <v>494</v>
      </c>
      <c r="J25" s="16" t="s">
        <v>495</v>
      </c>
      <c r="K25" s="16" t="s">
        <v>428</v>
      </c>
      <c r="L25" s="16" t="s">
        <v>496</v>
      </c>
      <c r="M25" s="16" t="s">
        <v>497</v>
      </c>
      <c r="N25" s="16"/>
      <c r="O25" s="16"/>
      <c r="P25" s="16"/>
      <c r="Q25" s="16"/>
      <c r="R25" s="16" t="s">
        <v>277</v>
      </c>
      <c r="S25" s="16" t="s">
        <v>278</v>
      </c>
      <c r="T25" s="16" t="s">
        <v>462</v>
      </c>
    </row>
    <row r="26" spans="1:20" x14ac:dyDescent="0.3">
      <c r="A26" s="16" t="s">
        <v>498</v>
      </c>
      <c r="B26" s="16" t="s">
        <v>28</v>
      </c>
      <c r="C26" s="30">
        <v>46064</v>
      </c>
      <c r="D26" s="30">
        <v>46120</v>
      </c>
      <c r="E26" s="16" t="s">
        <v>456</v>
      </c>
      <c r="F26" s="31">
        <v>35</v>
      </c>
      <c r="G26" s="31">
        <f t="shared" si="0"/>
        <v>315.91000000000003</v>
      </c>
      <c r="H26" s="32">
        <v>303</v>
      </c>
      <c r="I26" s="16" t="s">
        <v>499</v>
      </c>
      <c r="J26" s="16" t="s">
        <v>500</v>
      </c>
      <c r="K26" s="16" t="s">
        <v>258</v>
      </c>
      <c r="L26" s="16" t="s">
        <v>501</v>
      </c>
      <c r="M26" s="16" t="s">
        <v>502</v>
      </c>
      <c r="N26" s="16"/>
      <c r="O26" s="16"/>
      <c r="P26" s="16"/>
      <c r="Q26" s="16"/>
      <c r="R26" s="16" t="s">
        <v>27</v>
      </c>
      <c r="S26" s="16" t="s">
        <v>29</v>
      </c>
      <c r="T26" s="16" t="s">
        <v>462</v>
      </c>
    </row>
    <row r="27" spans="1:20" x14ac:dyDescent="0.3">
      <c r="A27" s="16" t="s">
        <v>503</v>
      </c>
      <c r="B27" s="16" t="s">
        <v>28</v>
      </c>
      <c r="C27" s="30">
        <v>46064</v>
      </c>
      <c r="D27" s="30">
        <v>46120</v>
      </c>
      <c r="E27" s="16" t="s">
        <v>456</v>
      </c>
      <c r="F27" s="31">
        <v>11</v>
      </c>
      <c r="G27" s="31">
        <f t="shared" si="0"/>
        <v>99.286000000000001</v>
      </c>
      <c r="H27" s="32">
        <v>123</v>
      </c>
      <c r="I27" s="16" t="s">
        <v>504</v>
      </c>
      <c r="J27" s="16" t="s">
        <v>505</v>
      </c>
      <c r="K27" s="16" t="s">
        <v>258</v>
      </c>
      <c r="L27" s="16" t="s">
        <v>506</v>
      </c>
      <c r="M27" s="16" t="s">
        <v>507</v>
      </c>
      <c r="N27" s="16"/>
      <c r="O27" s="16"/>
      <c r="P27" s="16"/>
      <c r="Q27" s="16"/>
      <c r="R27" s="16" t="s">
        <v>27</v>
      </c>
      <c r="S27" s="16" t="s">
        <v>29</v>
      </c>
      <c r="T27" s="16" t="s">
        <v>462</v>
      </c>
    </row>
    <row r="28" spans="1:20" x14ac:dyDescent="0.3">
      <c r="A28" s="16" t="s">
        <v>508</v>
      </c>
      <c r="B28" s="16" t="s">
        <v>28</v>
      </c>
      <c r="C28" s="30">
        <v>46064</v>
      </c>
      <c r="D28" s="30">
        <v>46120</v>
      </c>
      <c r="E28" s="16" t="s">
        <v>456</v>
      </c>
      <c r="F28" s="31">
        <v>11</v>
      </c>
      <c r="G28" s="31">
        <f t="shared" si="0"/>
        <v>99.286000000000001</v>
      </c>
      <c r="H28" s="32">
        <v>78</v>
      </c>
      <c r="I28" s="16" t="s">
        <v>509</v>
      </c>
      <c r="J28" s="16" t="s">
        <v>510</v>
      </c>
      <c r="K28" s="16" t="s">
        <v>258</v>
      </c>
      <c r="L28" s="16" t="s">
        <v>511</v>
      </c>
      <c r="M28" s="16" t="s">
        <v>512</v>
      </c>
      <c r="N28" s="16"/>
      <c r="O28" s="16"/>
      <c r="P28" s="16"/>
      <c r="Q28" s="16"/>
      <c r="R28" s="16" t="s">
        <v>27</v>
      </c>
      <c r="S28" s="16" t="s">
        <v>29</v>
      </c>
      <c r="T28" s="16" t="s">
        <v>462</v>
      </c>
    </row>
    <row r="29" spans="1:20" x14ac:dyDescent="0.3">
      <c r="A29" s="16" t="s">
        <v>513</v>
      </c>
      <c r="B29" s="16" t="s">
        <v>28</v>
      </c>
      <c r="C29" s="30">
        <v>46064</v>
      </c>
      <c r="D29" s="30">
        <v>46120</v>
      </c>
      <c r="E29" s="16" t="s">
        <v>456</v>
      </c>
      <c r="F29" s="31">
        <v>51</v>
      </c>
      <c r="G29" s="31">
        <f t="shared" si="0"/>
        <v>460.32600000000002</v>
      </c>
      <c r="H29" s="32">
        <v>922</v>
      </c>
      <c r="I29" s="16" t="s">
        <v>514</v>
      </c>
      <c r="J29" s="16" t="s">
        <v>515</v>
      </c>
      <c r="K29" s="16" t="s">
        <v>516</v>
      </c>
      <c r="L29" s="16" t="s">
        <v>517</v>
      </c>
      <c r="M29" s="16" t="s">
        <v>518</v>
      </c>
      <c r="N29" s="16"/>
      <c r="O29" s="16"/>
      <c r="P29" s="16"/>
      <c r="Q29" s="16"/>
      <c r="R29" s="16" t="s">
        <v>282</v>
      </c>
      <c r="S29" s="16" t="s">
        <v>283</v>
      </c>
      <c r="T29" s="16" t="s">
        <v>462</v>
      </c>
    </row>
    <row r="30" spans="1:20" x14ac:dyDescent="0.3">
      <c r="A30" s="16" t="s">
        <v>519</v>
      </c>
      <c r="B30" s="16" t="s">
        <v>28</v>
      </c>
      <c r="C30" s="30">
        <v>46064</v>
      </c>
      <c r="D30" s="30">
        <v>46120</v>
      </c>
      <c r="E30" s="16" t="s">
        <v>456</v>
      </c>
      <c r="F30" s="31">
        <v>226</v>
      </c>
      <c r="G30" s="31">
        <f t="shared" si="0"/>
        <v>2039.876</v>
      </c>
      <c r="H30" s="32">
        <v>1416</v>
      </c>
      <c r="I30" s="16" t="s">
        <v>520</v>
      </c>
      <c r="J30" s="16" t="s">
        <v>521</v>
      </c>
      <c r="K30" s="16" t="s">
        <v>258</v>
      </c>
      <c r="L30" s="16" t="s">
        <v>522</v>
      </c>
      <c r="M30" s="16" t="s">
        <v>523</v>
      </c>
      <c r="N30" s="16"/>
      <c r="O30" s="16"/>
      <c r="P30" s="16"/>
      <c r="Q30" s="16"/>
      <c r="R30" s="16" t="s">
        <v>282</v>
      </c>
      <c r="S30" s="16" t="s">
        <v>283</v>
      </c>
      <c r="T30" s="16" t="s">
        <v>462</v>
      </c>
    </row>
    <row r="31" spans="1:20" x14ac:dyDescent="0.3">
      <c r="A31" s="16" t="s">
        <v>524</v>
      </c>
      <c r="B31" s="16" t="s">
        <v>28</v>
      </c>
      <c r="C31" s="30">
        <v>46064</v>
      </c>
      <c r="D31" s="30" t="s">
        <v>114</v>
      </c>
      <c r="E31" s="16" t="s">
        <v>456</v>
      </c>
      <c r="F31" s="31">
        <v>11</v>
      </c>
      <c r="G31" s="31">
        <f t="shared" si="0"/>
        <v>99.286000000000001</v>
      </c>
      <c r="H31" s="32">
        <v>131</v>
      </c>
      <c r="I31" s="16" t="s">
        <v>525</v>
      </c>
      <c r="J31" s="16" t="s">
        <v>526</v>
      </c>
      <c r="K31" s="16" t="s">
        <v>428</v>
      </c>
      <c r="L31" s="16" t="s">
        <v>527</v>
      </c>
      <c r="M31" s="16" t="s">
        <v>528</v>
      </c>
      <c r="N31" s="16"/>
      <c r="O31" s="16"/>
      <c r="P31" s="16"/>
      <c r="Q31" s="16"/>
      <c r="R31" s="16" t="s">
        <v>287</v>
      </c>
      <c r="S31" s="16" t="s">
        <v>288</v>
      </c>
      <c r="T31" s="16" t="s">
        <v>462</v>
      </c>
    </row>
    <row r="32" spans="1:20" x14ac:dyDescent="0.3">
      <c r="A32" s="16" t="s">
        <v>529</v>
      </c>
      <c r="B32" s="16" t="s">
        <v>28</v>
      </c>
      <c r="C32" s="30">
        <v>46064</v>
      </c>
      <c r="D32" s="30" t="s">
        <v>114</v>
      </c>
      <c r="E32" s="16" t="s">
        <v>456</v>
      </c>
      <c r="F32" s="31">
        <v>10</v>
      </c>
      <c r="G32" s="31">
        <f t="shared" si="0"/>
        <v>90.26</v>
      </c>
      <c r="H32" s="32">
        <v>77</v>
      </c>
      <c r="I32" s="16" t="s">
        <v>530</v>
      </c>
      <c r="J32" s="16" t="s">
        <v>531</v>
      </c>
      <c r="K32" s="16" t="s">
        <v>258</v>
      </c>
      <c r="L32" s="16" t="s">
        <v>532</v>
      </c>
      <c r="M32" s="16" t="s">
        <v>533</v>
      </c>
      <c r="N32" s="16"/>
      <c r="O32" s="16"/>
      <c r="P32" s="16"/>
      <c r="Q32" s="16"/>
      <c r="R32" s="16" t="s">
        <v>287</v>
      </c>
      <c r="S32" s="16" t="s">
        <v>288</v>
      </c>
      <c r="T32" s="16" t="s">
        <v>462</v>
      </c>
    </row>
    <row r="33" spans="1:20" x14ac:dyDescent="0.3">
      <c r="A33" s="16" t="s">
        <v>534</v>
      </c>
      <c r="B33" s="16" t="s">
        <v>28</v>
      </c>
      <c r="C33" s="30">
        <v>46064</v>
      </c>
      <c r="D33" s="30" t="s">
        <v>69</v>
      </c>
      <c r="E33" s="16" t="s">
        <v>456</v>
      </c>
      <c r="F33" s="31">
        <v>9</v>
      </c>
      <c r="G33" s="31">
        <f t="shared" si="0"/>
        <v>81.233999999999995</v>
      </c>
      <c r="H33" s="32">
        <v>120</v>
      </c>
      <c r="I33" s="16" t="s">
        <v>535</v>
      </c>
      <c r="J33" s="16" t="s">
        <v>536</v>
      </c>
      <c r="K33" s="16" t="s">
        <v>258</v>
      </c>
      <c r="L33" s="16" t="s">
        <v>537</v>
      </c>
      <c r="M33" s="16" t="s">
        <v>538</v>
      </c>
      <c r="N33" s="16"/>
      <c r="O33" s="16"/>
      <c r="P33" s="16"/>
      <c r="Q33" s="16"/>
      <c r="R33" s="16" t="s">
        <v>293</v>
      </c>
      <c r="S33" s="16" t="s">
        <v>294</v>
      </c>
      <c r="T33" s="16" t="s">
        <v>462</v>
      </c>
    </row>
    <row r="34" spans="1:20" x14ac:dyDescent="0.3">
      <c r="A34" s="16" t="s">
        <v>539</v>
      </c>
      <c r="B34" s="16" t="s">
        <v>28</v>
      </c>
      <c r="C34" s="30">
        <v>46064</v>
      </c>
      <c r="D34" s="30">
        <v>46120</v>
      </c>
      <c r="E34" s="16" t="s">
        <v>456</v>
      </c>
      <c r="F34" s="31">
        <v>11</v>
      </c>
      <c r="G34" s="31">
        <f t="shared" si="0"/>
        <v>99.286000000000001</v>
      </c>
      <c r="H34" s="32">
        <v>72</v>
      </c>
      <c r="I34" s="16" t="s">
        <v>540</v>
      </c>
      <c r="J34" s="16" t="s">
        <v>541</v>
      </c>
      <c r="K34" s="16" t="s">
        <v>258</v>
      </c>
      <c r="L34" s="16" t="s">
        <v>542</v>
      </c>
      <c r="M34" s="16" t="s">
        <v>543</v>
      </c>
      <c r="N34" s="16"/>
      <c r="O34" s="16"/>
      <c r="P34" s="16"/>
      <c r="Q34" s="16"/>
      <c r="R34" s="16" t="s">
        <v>304</v>
      </c>
      <c r="S34" s="16" t="s">
        <v>305</v>
      </c>
      <c r="T34" s="16" t="s">
        <v>462</v>
      </c>
    </row>
    <row r="35" spans="1:20" x14ac:dyDescent="0.3">
      <c r="A35" s="16" t="s">
        <v>544</v>
      </c>
      <c r="B35" s="16" t="s">
        <v>28</v>
      </c>
      <c r="C35" s="30">
        <v>46064</v>
      </c>
      <c r="D35" s="30" t="s">
        <v>114</v>
      </c>
      <c r="E35" s="16" t="s">
        <v>456</v>
      </c>
      <c r="F35" s="31">
        <v>100</v>
      </c>
      <c r="G35" s="31">
        <f t="shared" si="0"/>
        <v>902.6</v>
      </c>
      <c r="H35" s="32">
        <v>264</v>
      </c>
      <c r="I35" s="16" t="s">
        <v>545</v>
      </c>
      <c r="J35" s="16" t="s">
        <v>546</v>
      </c>
      <c r="K35" s="16" t="s">
        <v>258</v>
      </c>
      <c r="L35" s="16" t="s">
        <v>547</v>
      </c>
      <c r="M35" s="16" t="s">
        <v>548</v>
      </c>
      <c r="N35" s="16"/>
      <c r="O35" s="16"/>
      <c r="P35" s="16"/>
      <c r="Q35" s="16"/>
      <c r="R35" s="16" t="s">
        <v>309</v>
      </c>
      <c r="S35" s="16" t="s">
        <v>310</v>
      </c>
      <c r="T35" s="16" t="s">
        <v>462</v>
      </c>
    </row>
    <row r="36" spans="1:20" x14ac:dyDescent="0.3">
      <c r="A36" s="16" t="s">
        <v>549</v>
      </c>
      <c r="B36" s="16" t="s">
        <v>28</v>
      </c>
      <c r="C36" s="30">
        <v>46064</v>
      </c>
      <c r="D36" s="30" t="s">
        <v>940</v>
      </c>
      <c r="E36" s="16" t="s">
        <v>456</v>
      </c>
      <c r="F36" s="31">
        <v>72</v>
      </c>
      <c r="G36" s="31">
        <f t="shared" si="0"/>
        <v>649.87199999999996</v>
      </c>
      <c r="H36" s="32">
        <v>721</v>
      </c>
      <c r="I36" s="16" t="s">
        <v>550</v>
      </c>
      <c r="J36" s="16" t="s">
        <v>551</v>
      </c>
      <c r="K36" s="16" t="s">
        <v>428</v>
      </c>
      <c r="L36" s="16" t="s">
        <v>552</v>
      </c>
      <c r="M36" s="16" t="s">
        <v>553</v>
      </c>
      <c r="N36" s="16"/>
      <c r="O36" s="16"/>
      <c r="P36" s="16"/>
      <c r="Q36" s="16"/>
      <c r="R36" s="16" t="s">
        <v>314</v>
      </c>
      <c r="S36" s="16" t="s">
        <v>315</v>
      </c>
      <c r="T36" s="16" t="s">
        <v>462</v>
      </c>
    </row>
    <row r="37" spans="1:20" x14ac:dyDescent="0.3">
      <c r="A37" s="16" t="s">
        <v>554</v>
      </c>
      <c r="B37" s="16" t="s">
        <v>28</v>
      </c>
      <c r="C37" s="30">
        <v>46064</v>
      </c>
      <c r="D37" s="30">
        <v>46120</v>
      </c>
      <c r="E37" s="16" t="s">
        <v>456</v>
      </c>
      <c r="F37" s="31">
        <v>46</v>
      </c>
      <c r="G37" s="31">
        <f t="shared" si="0"/>
        <v>415.19600000000003</v>
      </c>
      <c r="H37" s="32">
        <v>75</v>
      </c>
      <c r="I37" s="16" t="s">
        <v>555</v>
      </c>
      <c r="J37" s="16" t="s">
        <v>556</v>
      </c>
      <c r="K37" s="16" t="s">
        <v>258</v>
      </c>
      <c r="L37" s="16" t="s">
        <v>557</v>
      </c>
      <c r="M37" s="16" t="s">
        <v>558</v>
      </c>
      <c r="N37" s="16"/>
      <c r="O37" s="16"/>
      <c r="P37" s="16"/>
      <c r="Q37" s="16"/>
      <c r="R37" s="16" t="s">
        <v>322</v>
      </c>
      <c r="S37" s="16" t="s">
        <v>323</v>
      </c>
      <c r="T37" s="16" t="s">
        <v>462</v>
      </c>
    </row>
    <row r="38" spans="1:20" x14ac:dyDescent="0.3">
      <c r="A38" s="16" t="s">
        <v>559</v>
      </c>
      <c r="B38" s="16" t="s">
        <v>28</v>
      </c>
      <c r="C38" s="30">
        <v>46064</v>
      </c>
      <c r="D38" s="30" t="s">
        <v>114</v>
      </c>
      <c r="E38" s="16" t="s">
        <v>456</v>
      </c>
      <c r="F38" s="31">
        <v>9.1999999999999993</v>
      </c>
      <c r="G38" s="31">
        <f t="shared" si="0"/>
        <v>83.039199999999994</v>
      </c>
      <c r="H38" s="32">
        <v>52</v>
      </c>
      <c r="I38" s="16" t="s">
        <v>560</v>
      </c>
      <c r="J38" s="16" t="s">
        <v>561</v>
      </c>
      <c r="K38" s="16" t="s">
        <v>37</v>
      </c>
      <c r="L38" s="16" t="s">
        <v>562</v>
      </c>
      <c r="M38" s="16" t="s">
        <v>563</v>
      </c>
      <c r="N38" s="16"/>
      <c r="O38" s="16"/>
      <c r="P38" s="16"/>
      <c r="Q38" s="16"/>
      <c r="R38" s="16" t="s">
        <v>328</v>
      </c>
      <c r="S38" s="16" t="s">
        <v>329</v>
      </c>
      <c r="T38" s="16" t="s">
        <v>462</v>
      </c>
    </row>
    <row r="39" spans="1:20" x14ac:dyDescent="0.3">
      <c r="A39" s="16" t="s">
        <v>564</v>
      </c>
      <c r="B39" s="16" t="s">
        <v>28</v>
      </c>
      <c r="C39" s="30">
        <v>46064</v>
      </c>
      <c r="D39" s="30">
        <v>46120</v>
      </c>
      <c r="E39" s="16" t="s">
        <v>456</v>
      </c>
      <c r="F39" s="31">
        <v>11</v>
      </c>
      <c r="G39" s="31">
        <f t="shared" si="0"/>
        <v>99.286000000000001</v>
      </c>
      <c r="H39" s="32">
        <v>58</v>
      </c>
      <c r="I39" s="16" t="s">
        <v>565</v>
      </c>
      <c r="J39" s="16" t="s">
        <v>566</v>
      </c>
      <c r="K39" s="16" t="s">
        <v>428</v>
      </c>
      <c r="L39" s="16" t="s">
        <v>567</v>
      </c>
      <c r="M39" s="16" t="s">
        <v>568</v>
      </c>
      <c r="N39" s="16"/>
      <c r="O39" s="16"/>
      <c r="P39" s="16"/>
      <c r="Q39" s="16"/>
      <c r="R39" s="16" t="s">
        <v>334</v>
      </c>
      <c r="S39" s="16" t="s">
        <v>335</v>
      </c>
      <c r="T39" s="16" t="s">
        <v>462</v>
      </c>
    </row>
    <row r="40" spans="1:20" x14ac:dyDescent="0.3">
      <c r="A40" s="16" t="s">
        <v>569</v>
      </c>
      <c r="B40" s="16" t="s">
        <v>28</v>
      </c>
      <c r="C40" s="30">
        <v>46064</v>
      </c>
      <c r="D40" s="30">
        <v>46120</v>
      </c>
      <c r="E40" s="16" t="s">
        <v>456</v>
      </c>
      <c r="F40" s="31">
        <v>29</v>
      </c>
      <c r="G40" s="31">
        <f t="shared" si="0"/>
        <v>261.75400000000002</v>
      </c>
      <c r="H40" s="32">
        <v>241</v>
      </c>
      <c r="I40" s="16" t="s">
        <v>941</v>
      </c>
      <c r="J40" s="16" t="s">
        <v>570</v>
      </c>
      <c r="K40" s="16" t="s">
        <v>258</v>
      </c>
      <c r="L40" s="16" t="s">
        <v>571</v>
      </c>
      <c r="M40" s="16" t="s">
        <v>572</v>
      </c>
      <c r="N40" s="16"/>
      <c r="O40" s="16"/>
      <c r="P40" s="16"/>
      <c r="Q40" s="16"/>
      <c r="R40" s="16" t="s">
        <v>339</v>
      </c>
      <c r="S40" s="16" t="s">
        <v>340</v>
      </c>
      <c r="T40" s="16" t="s">
        <v>462</v>
      </c>
    </row>
    <row r="41" spans="1:20" x14ac:dyDescent="0.3">
      <c r="A41" s="16" t="s">
        <v>573</v>
      </c>
      <c r="B41" s="16" t="s">
        <v>28</v>
      </c>
      <c r="C41" s="30">
        <v>46064</v>
      </c>
      <c r="D41" s="30">
        <v>46120</v>
      </c>
      <c r="E41" s="16" t="s">
        <v>456</v>
      </c>
      <c r="F41" s="31" t="s">
        <v>574</v>
      </c>
      <c r="G41" s="31" t="s">
        <v>574</v>
      </c>
      <c r="H41" s="32">
        <v>572</v>
      </c>
      <c r="I41" s="16" t="s">
        <v>575</v>
      </c>
      <c r="J41" s="16" t="s">
        <v>576</v>
      </c>
      <c r="K41" s="16" t="s">
        <v>428</v>
      </c>
      <c r="L41" s="16" t="s">
        <v>577</v>
      </c>
      <c r="M41" s="16" t="s">
        <v>578</v>
      </c>
      <c r="N41" s="16"/>
      <c r="O41" s="16"/>
      <c r="P41" s="16"/>
      <c r="Q41" s="16"/>
      <c r="R41" s="16" t="s">
        <v>344</v>
      </c>
      <c r="S41" s="16" t="s">
        <v>345</v>
      </c>
      <c r="T41" s="16" t="s">
        <v>462</v>
      </c>
    </row>
    <row r="42" spans="1:20" x14ac:dyDescent="0.3">
      <c r="A42" s="16" t="s">
        <v>579</v>
      </c>
      <c r="B42" s="16" t="s">
        <v>28</v>
      </c>
      <c r="C42" s="30">
        <v>46064</v>
      </c>
      <c r="D42" s="30">
        <v>46120</v>
      </c>
      <c r="E42" s="16" t="s">
        <v>456</v>
      </c>
      <c r="F42" s="31">
        <v>14</v>
      </c>
      <c r="G42" s="31">
        <f t="shared" ref="G42:G54" si="1">(F42*1000000*$B$2)/10000000</f>
        <v>126.364</v>
      </c>
      <c r="H42" s="32">
        <v>158</v>
      </c>
      <c r="I42" s="16" t="s">
        <v>580</v>
      </c>
      <c r="J42" s="16" t="s">
        <v>581</v>
      </c>
      <c r="K42" s="16" t="s">
        <v>258</v>
      </c>
      <c r="L42" s="16" t="s">
        <v>582</v>
      </c>
      <c r="M42" s="16" t="s">
        <v>583</v>
      </c>
      <c r="N42" s="16"/>
      <c r="O42" s="16"/>
      <c r="P42" s="16"/>
      <c r="Q42" s="16"/>
      <c r="R42" s="16" t="s">
        <v>349</v>
      </c>
      <c r="S42" s="16" t="s">
        <v>350</v>
      </c>
      <c r="T42" s="16" t="s">
        <v>462</v>
      </c>
    </row>
    <row r="43" spans="1:20" x14ac:dyDescent="0.3">
      <c r="A43" s="16" t="s">
        <v>584</v>
      </c>
      <c r="B43" s="16" t="s">
        <v>28</v>
      </c>
      <c r="C43" s="30">
        <v>46064</v>
      </c>
      <c r="D43" s="30">
        <v>46120</v>
      </c>
      <c r="E43" s="16" t="s">
        <v>456</v>
      </c>
      <c r="F43" s="31">
        <v>23</v>
      </c>
      <c r="G43" s="31">
        <f t="shared" si="1"/>
        <v>207.59800000000001</v>
      </c>
      <c r="H43" s="32">
        <v>236</v>
      </c>
      <c r="I43" s="16" t="s">
        <v>585</v>
      </c>
      <c r="J43" s="16" t="s">
        <v>586</v>
      </c>
      <c r="K43" s="16" t="s">
        <v>428</v>
      </c>
      <c r="L43" s="16" t="s">
        <v>587</v>
      </c>
      <c r="M43" s="16" t="s">
        <v>588</v>
      </c>
      <c r="N43" s="16"/>
      <c r="O43" s="16"/>
      <c r="P43" s="16"/>
      <c r="Q43" s="16"/>
      <c r="R43" s="16" t="s">
        <v>355</v>
      </c>
      <c r="S43" s="16" t="s">
        <v>356</v>
      </c>
      <c r="T43" s="16" t="s">
        <v>462</v>
      </c>
    </row>
    <row r="44" spans="1:20" x14ac:dyDescent="0.3">
      <c r="A44" s="16" t="s">
        <v>589</v>
      </c>
      <c r="B44" s="16" t="s">
        <v>28</v>
      </c>
      <c r="C44" s="30">
        <v>46064</v>
      </c>
      <c r="D44" s="30" t="s">
        <v>69</v>
      </c>
      <c r="E44" s="16" t="s">
        <v>456</v>
      </c>
      <c r="F44" s="31">
        <v>34</v>
      </c>
      <c r="G44" s="31">
        <f t="shared" si="1"/>
        <v>306.88400000000001</v>
      </c>
      <c r="H44" s="32">
        <v>356</v>
      </c>
      <c r="I44" s="16" t="s">
        <v>590</v>
      </c>
      <c r="J44" s="16" t="s">
        <v>591</v>
      </c>
      <c r="K44" s="16" t="s">
        <v>258</v>
      </c>
      <c r="L44" s="16" t="s">
        <v>592</v>
      </c>
      <c r="M44" s="16" t="s">
        <v>593</v>
      </c>
      <c r="N44" s="16"/>
      <c r="O44" s="16"/>
      <c r="P44" s="16"/>
      <c r="Q44" s="16"/>
      <c r="R44" s="16" t="s">
        <v>57</v>
      </c>
      <c r="S44" s="16" t="s">
        <v>58</v>
      </c>
      <c r="T44" s="16" t="s">
        <v>462</v>
      </c>
    </row>
    <row r="45" spans="1:20" x14ac:dyDescent="0.3">
      <c r="A45" s="16" t="s">
        <v>594</v>
      </c>
      <c r="B45" s="16" t="s">
        <v>28</v>
      </c>
      <c r="C45" s="30">
        <v>46064</v>
      </c>
      <c r="D45" s="30" t="s">
        <v>69</v>
      </c>
      <c r="E45" s="16" t="s">
        <v>456</v>
      </c>
      <c r="F45" s="31">
        <v>18</v>
      </c>
      <c r="G45" s="31">
        <f t="shared" si="1"/>
        <v>162.46799999999999</v>
      </c>
      <c r="H45" s="32">
        <v>228</v>
      </c>
      <c r="I45" s="16" t="s">
        <v>595</v>
      </c>
      <c r="J45" s="16" t="s">
        <v>596</v>
      </c>
      <c r="K45" s="16" t="s">
        <v>258</v>
      </c>
      <c r="L45" s="16" t="s">
        <v>597</v>
      </c>
      <c r="M45" s="16" t="s">
        <v>598</v>
      </c>
      <c r="N45" s="16"/>
      <c r="O45" s="16"/>
      <c r="P45" s="16"/>
      <c r="Q45" s="16"/>
      <c r="R45" s="16" t="s">
        <v>360</v>
      </c>
      <c r="S45" s="16" t="s">
        <v>361</v>
      </c>
      <c r="T45" s="16" t="s">
        <v>462</v>
      </c>
    </row>
    <row r="46" spans="1:20" x14ac:dyDescent="0.3">
      <c r="A46" s="16" t="s">
        <v>599</v>
      </c>
      <c r="B46" s="16" t="s">
        <v>28</v>
      </c>
      <c r="C46" s="30">
        <v>46064</v>
      </c>
      <c r="D46" s="30">
        <v>46120</v>
      </c>
      <c r="E46" s="16" t="s">
        <v>456</v>
      </c>
      <c r="F46" s="31">
        <v>30</v>
      </c>
      <c r="G46" s="31">
        <f t="shared" si="1"/>
        <v>270.77999999999997</v>
      </c>
      <c r="H46" s="32">
        <v>315</v>
      </c>
      <c r="I46" s="16" t="s">
        <v>600</v>
      </c>
      <c r="J46" s="16" t="s">
        <v>601</v>
      </c>
      <c r="K46" s="16" t="s">
        <v>258</v>
      </c>
      <c r="L46" s="16" t="s">
        <v>602</v>
      </c>
      <c r="M46" s="16" t="s">
        <v>603</v>
      </c>
      <c r="N46" s="16"/>
      <c r="O46" s="16"/>
      <c r="P46" s="16"/>
      <c r="Q46" s="16"/>
      <c r="R46" s="16" t="s">
        <v>68</v>
      </c>
      <c r="S46" s="16" t="s">
        <v>70</v>
      </c>
      <c r="T46" s="16" t="s">
        <v>462</v>
      </c>
    </row>
    <row r="47" spans="1:20" x14ac:dyDescent="0.3">
      <c r="A47" s="16" t="s">
        <v>604</v>
      </c>
      <c r="B47" s="16" t="s">
        <v>28</v>
      </c>
      <c r="C47" s="30">
        <v>46064</v>
      </c>
      <c r="D47" s="30">
        <v>46120</v>
      </c>
      <c r="E47" s="16" t="s">
        <v>456</v>
      </c>
      <c r="F47" s="31">
        <v>32</v>
      </c>
      <c r="G47" s="31">
        <f t="shared" si="1"/>
        <v>288.83199999999999</v>
      </c>
      <c r="H47" s="32">
        <v>181</v>
      </c>
      <c r="I47" s="16" t="s">
        <v>605</v>
      </c>
      <c r="J47" s="16" t="s">
        <v>606</v>
      </c>
      <c r="K47" s="16" t="s">
        <v>428</v>
      </c>
      <c r="L47" s="16" t="s">
        <v>607</v>
      </c>
      <c r="M47" s="16" t="s">
        <v>608</v>
      </c>
      <c r="N47" s="16"/>
      <c r="O47" s="16"/>
      <c r="P47" s="16"/>
      <c r="Q47" s="16"/>
      <c r="R47" s="16" t="s">
        <v>366</v>
      </c>
      <c r="S47" s="16" t="s">
        <v>367</v>
      </c>
      <c r="T47" s="16" t="s">
        <v>462</v>
      </c>
    </row>
    <row r="48" spans="1:20" x14ac:dyDescent="0.3">
      <c r="A48" s="16" t="s">
        <v>609</v>
      </c>
      <c r="B48" s="16" t="s">
        <v>28</v>
      </c>
      <c r="C48" s="30">
        <v>46064</v>
      </c>
      <c r="D48" s="30" t="s">
        <v>69</v>
      </c>
      <c r="E48" s="16" t="s">
        <v>456</v>
      </c>
      <c r="F48" s="31">
        <v>36</v>
      </c>
      <c r="G48" s="31">
        <f t="shared" si="1"/>
        <v>324.93599999999998</v>
      </c>
      <c r="H48" s="32">
        <v>319</v>
      </c>
      <c r="I48" s="16" t="s">
        <v>610</v>
      </c>
      <c r="J48" s="16" t="s">
        <v>611</v>
      </c>
      <c r="K48" s="16" t="s">
        <v>258</v>
      </c>
      <c r="L48" s="16" t="s">
        <v>612</v>
      </c>
      <c r="M48" s="16" t="s">
        <v>613</v>
      </c>
      <c r="N48" s="16"/>
      <c r="O48" s="16"/>
      <c r="P48" s="16"/>
      <c r="Q48" s="16"/>
      <c r="R48" s="16" t="s">
        <v>614</v>
      </c>
      <c r="S48" s="16" t="s">
        <v>374</v>
      </c>
      <c r="T48" s="16" t="s">
        <v>462</v>
      </c>
    </row>
    <row r="49" spans="1:20" x14ac:dyDescent="0.3">
      <c r="A49" s="16" t="s">
        <v>615</v>
      </c>
      <c r="B49" s="16" t="s">
        <v>28</v>
      </c>
      <c r="C49" s="30">
        <v>46064</v>
      </c>
      <c r="D49" s="30">
        <v>46120</v>
      </c>
      <c r="E49" s="16" t="s">
        <v>456</v>
      </c>
      <c r="F49" s="31">
        <v>9</v>
      </c>
      <c r="G49" s="31">
        <f t="shared" si="1"/>
        <v>81.233999999999995</v>
      </c>
      <c r="H49" s="32">
        <v>47</v>
      </c>
      <c r="I49" s="16" t="s">
        <v>616</v>
      </c>
      <c r="J49" s="16" t="s">
        <v>617</v>
      </c>
      <c r="K49" s="16" t="s">
        <v>376</v>
      </c>
      <c r="L49" s="16" t="s">
        <v>618</v>
      </c>
      <c r="M49" s="16" t="s">
        <v>619</v>
      </c>
      <c r="N49" s="16"/>
      <c r="O49" s="16"/>
      <c r="P49" s="16"/>
      <c r="Q49" s="16"/>
      <c r="R49" s="16" t="s">
        <v>614</v>
      </c>
      <c r="S49" s="16" t="s">
        <v>374</v>
      </c>
      <c r="T49" s="16" t="s">
        <v>462</v>
      </c>
    </row>
    <row r="50" spans="1:20" x14ac:dyDescent="0.3">
      <c r="A50" s="16" t="s">
        <v>620</v>
      </c>
      <c r="B50" s="16" t="s">
        <v>28</v>
      </c>
      <c r="C50" s="30">
        <v>46064</v>
      </c>
      <c r="D50" s="30" t="s">
        <v>114</v>
      </c>
      <c r="E50" s="16" t="s">
        <v>621</v>
      </c>
      <c r="F50" s="31">
        <v>25</v>
      </c>
      <c r="G50" s="31">
        <f t="shared" si="1"/>
        <v>225.65</v>
      </c>
      <c r="H50" s="32">
        <v>33</v>
      </c>
      <c r="I50" s="16" t="s">
        <v>622</v>
      </c>
      <c r="J50" s="16" t="s">
        <v>623</v>
      </c>
      <c r="K50" s="16" t="s">
        <v>624</v>
      </c>
      <c r="L50" s="16" t="s">
        <v>625</v>
      </c>
      <c r="M50" s="16" t="s">
        <v>626</v>
      </c>
      <c r="N50" s="16"/>
      <c r="O50" s="16"/>
      <c r="P50" s="16"/>
      <c r="Q50" s="16"/>
      <c r="R50" s="16" t="s">
        <v>316</v>
      </c>
      <c r="S50" s="16" t="s">
        <v>317</v>
      </c>
      <c r="T50" s="16" t="s">
        <v>462</v>
      </c>
    </row>
    <row r="51" spans="1:20" x14ac:dyDescent="0.3">
      <c r="A51" s="16" t="s">
        <v>627</v>
      </c>
      <c r="B51" s="16" t="s">
        <v>28</v>
      </c>
      <c r="C51" s="30">
        <v>46064</v>
      </c>
      <c r="D51" s="30" t="s">
        <v>114</v>
      </c>
      <c r="E51" s="16" t="s">
        <v>628</v>
      </c>
      <c r="F51" s="31">
        <v>63</v>
      </c>
      <c r="G51" s="31">
        <f t="shared" si="1"/>
        <v>568.63800000000003</v>
      </c>
      <c r="H51" s="32">
        <v>425</v>
      </c>
      <c r="I51" s="16" t="s">
        <v>629</v>
      </c>
      <c r="J51" s="16" t="s">
        <v>630</v>
      </c>
      <c r="K51" s="16" t="s">
        <v>258</v>
      </c>
      <c r="L51" s="16" t="s">
        <v>631</v>
      </c>
      <c r="M51" s="16" t="s">
        <v>632</v>
      </c>
      <c r="N51" s="16"/>
      <c r="O51" s="16"/>
      <c r="P51" s="16"/>
      <c r="Q51" s="16"/>
      <c r="R51" s="16" t="s">
        <v>299</v>
      </c>
      <c r="S51" s="16" t="s">
        <v>300</v>
      </c>
      <c r="T51" s="16" t="s">
        <v>462</v>
      </c>
    </row>
    <row r="52" spans="1:20" x14ac:dyDescent="0.3">
      <c r="A52" s="16" t="s">
        <v>633</v>
      </c>
      <c r="B52" s="16" t="s">
        <v>239</v>
      </c>
      <c r="C52" s="30">
        <v>46062</v>
      </c>
      <c r="D52" s="30" t="s">
        <v>114</v>
      </c>
      <c r="E52" s="16" t="s">
        <v>448</v>
      </c>
      <c r="F52" s="31">
        <v>68</v>
      </c>
      <c r="G52" s="31">
        <f t="shared" si="1"/>
        <v>613.76800000000003</v>
      </c>
      <c r="H52" s="32">
        <v>506</v>
      </c>
      <c r="I52" s="16" t="s">
        <v>634</v>
      </c>
      <c r="J52" s="16" t="s">
        <v>635</v>
      </c>
      <c r="K52" s="16" t="s">
        <v>636</v>
      </c>
      <c r="L52" s="16" t="s">
        <v>637</v>
      </c>
      <c r="M52" s="16" t="s">
        <v>638</v>
      </c>
      <c r="N52" s="16"/>
      <c r="O52" s="16"/>
      <c r="P52" s="16"/>
      <c r="Q52" s="16"/>
      <c r="R52" s="16" t="s">
        <v>238</v>
      </c>
      <c r="S52" s="16" t="s">
        <v>240</v>
      </c>
      <c r="T52" s="16" t="s">
        <v>454</v>
      </c>
    </row>
    <row r="53" spans="1:20" x14ac:dyDescent="0.3">
      <c r="A53" s="16" t="s">
        <v>808</v>
      </c>
      <c r="B53" s="16" t="s">
        <v>809</v>
      </c>
      <c r="C53" s="30">
        <v>46065</v>
      </c>
      <c r="D53" s="30" t="s">
        <v>886</v>
      </c>
      <c r="E53" s="16" t="s">
        <v>396</v>
      </c>
      <c r="F53" s="31">
        <v>350</v>
      </c>
      <c r="G53" s="31">
        <f t="shared" si="1"/>
        <v>3159.1</v>
      </c>
      <c r="H53" s="32">
        <v>3635</v>
      </c>
      <c r="I53" s="16" t="s">
        <v>821</v>
      </c>
      <c r="J53" s="16" t="s">
        <v>819</v>
      </c>
      <c r="K53" s="16" t="s">
        <v>636</v>
      </c>
      <c r="L53" s="16" t="s">
        <v>818</v>
      </c>
      <c r="M53" s="16" t="s">
        <v>820</v>
      </c>
      <c r="N53" s="16"/>
      <c r="O53" s="16"/>
      <c r="P53" s="16"/>
      <c r="Q53" s="16"/>
      <c r="R53" s="16" t="s">
        <v>810</v>
      </c>
      <c r="S53" s="16" t="s">
        <v>811</v>
      </c>
      <c r="T53" s="16" t="s">
        <v>401</v>
      </c>
    </row>
    <row r="54" spans="1:20" x14ac:dyDescent="0.3">
      <c r="A54" s="16" t="s">
        <v>822</v>
      </c>
      <c r="B54" s="16" t="s">
        <v>28</v>
      </c>
      <c r="C54" s="30">
        <v>46069</v>
      </c>
      <c r="D54" s="30">
        <v>46125</v>
      </c>
      <c r="E54" s="16" t="s">
        <v>396</v>
      </c>
      <c r="F54" s="31">
        <v>323</v>
      </c>
      <c r="G54" s="31">
        <f t="shared" si="1"/>
        <v>2915.3980000000001</v>
      </c>
      <c r="H54" s="32">
        <v>3437</v>
      </c>
      <c r="I54" s="16" t="s">
        <v>823</v>
      </c>
      <c r="J54" s="16" t="s">
        <v>826</v>
      </c>
      <c r="K54" s="16" t="s">
        <v>829</v>
      </c>
      <c r="L54" s="16" t="s">
        <v>827</v>
      </c>
      <c r="M54" s="16" t="s">
        <v>828</v>
      </c>
      <c r="N54" s="16"/>
      <c r="O54" s="16"/>
      <c r="P54" s="16"/>
      <c r="Q54" s="16"/>
      <c r="R54" s="16" t="s">
        <v>824</v>
      </c>
      <c r="S54" s="16" t="s">
        <v>825</v>
      </c>
      <c r="T54" s="16" t="s">
        <v>401</v>
      </c>
    </row>
    <row r="55" spans="1:20" x14ac:dyDescent="0.3">
      <c r="A55" s="16" t="s">
        <v>830</v>
      </c>
      <c r="B55" s="16" t="s">
        <v>16</v>
      </c>
      <c r="C55" s="30">
        <v>46070</v>
      </c>
      <c r="D55" s="30">
        <v>46126</v>
      </c>
      <c r="E55" s="16" t="s">
        <v>839</v>
      </c>
      <c r="F55" s="31">
        <v>44783</v>
      </c>
      <c r="G55" s="31">
        <f>F55/10</f>
        <v>4478.3</v>
      </c>
      <c r="H55" s="32">
        <v>483</v>
      </c>
      <c r="I55" s="16" t="s">
        <v>840</v>
      </c>
      <c r="J55" s="16" t="s">
        <v>831</v>
      </c>
      <c r="K55" s="16" t="s">
        <v>428</v>
      </c>
      <c r="L55" s="16" t="s">
        <v>832</v>
      </c>
      <c r="M55" s="16" t="s">
        <v>833</v>
      </c>
      <c r="N55" s="16"/>
      <c r="O55" s="16"/>
      <c r="P55" s="16"/>
      <c r="Q55" s="16"/>
      <c r="R55" s="16" t="s">
        <v>108</v>
      </c>
      <c r="S55" s="16" t="s">
        <v>109</v>
      </c>
      <c r="T55" s="16" t="s">
        <v>401</v>
      </c>
    </row>
    <row r="56" spans="1:20" x14ac:dyDescent="0.3">
      <c r="A56" s="16" t="s">
        <v>841</v>
      </c>
      <c r="B56" s="16" t="s">
        <v>28</v>
      </c>
      <c r="C56" s="30">
        <v>46079</v>
      </c>
      <c r="D56" s="30" t="s">
        <v>942</v>
      </c>
      <c r="E56" s="16" t="s">
        <v>396</v>
      </c>
      <c r="F56" s="31">
        <v>4116</v>
      </c>
      <c r="G56" s="31">
        <f>F56/10</f>
        <v>411.6</v>
      </c>
      <c r="H56" s="32">
        <v>64161</v>
      </c>
      <c r="I56" s="16" t="s">
        <v>842</v>
      </c>
      <c r="J56" s="16" t="s">
        <v>854</v>
      </c>
      <c r="K56" s="16" t="s">
        <v>855</v>
      </c>
      <c r="L56" s="16" t="s">
        <v>856</v>
      </c>
      <c r="M56" s="16" t="s">
        <v>857</v>
      </c>
      <c r="N56" s="16" t="s">
        <v>858</v>
      </c>
      <c r="O56" s="16" t="s">
        <v>859</v>
      </c>
      <c r="P56" s="16" t="s">
        <v>860</v>
      </c>
      <c r="Q56" s="16" t="s">
        <v>861</v>
      </c>
      <c r="R56" s="16" t="s">
        <v>193</v>
      </c>
      <c r="S56" s="16" t="s">
        <v>195</v>
      </c>
      <c r="T56" s="16" t="s">
        <v>401</v>
      </c>
    </row>
    <row r="57" spans="1:20" x14ac:dyDescent="0.3">
      <c r="A57" s="16" t="s">
        <v>843</v>
      </c>
      <c r="B57" s="16" t="s">
        <v>16</v>
      </c>
      <c r="C57" s="30">
        <v>46079</v>
      </c>
      <c r="D57" s="30" t="s">
        <v>69</v>
      </c>
      <c r="E57" s="16" t="s">
        <v>396</v>
      </c>
      <c r="F57" s="31">
        <v>6247</v>
      </c>
      <c r="G57" s="31">
        <f>F57/10</f>
        <v>624.70000000000005</v>
      </c>
      <c r="H57" s="32">
        <v>6325</v>
      </c>
      <c r="I57" s="16" t="s">
        <v>844</v>
      </c>
      <c r="J57" s="16" t="s">
        <v>862</v>
      </c>
      <c r="K57" s="16" t="s">
        <v>863</v>
      </c>
      <c r="L57" s="16" t="s">
        <v>864</v>
      </c>
      <c r="M57" s="16" t="s">
        <v>865</v>
      </c>
      <c r="N57" s="16"/>
      <c r="O57" s="16"/>
      <c r="P57" s="16"/>
      <c r="Q57" s="16"/>
      <c r="R57" s="16" t="s">
        <v>193</v>
      </c>
      <c r="S57" s="16" t="s">
        <v>195</v>
      </c>
      <c r="T57" s="16" t="s">
        <v>401</v>
      </c>
    </row>
    <row r="58" spans="1:20" x14ac:dyDescent="0.3">
      <c r="A58" s="16" t="s">
        <v>846</v>
      </c>
      <c r="B58" s="16" t="s">
        <v>847</v>
      </c>
      <c r="C58" s="30">
        <v>46079</v>
      </c>
      <c r="D58" s="30">
        <v>46149</v>
      </c>
      <c r="E58" s="16" t="s">
        <v>456</v>
      </c>
      <c r="F58" s="31">
        <v>48</v>
      </c>
      <c r="G58" s="31">
        <f t="shared" ref="G58" si="2">(F58*1000000*$B$2)/10000000</f>
        <v>433.24799999999999</v>
      </c>
      <c r="H58" s="32">
        <v>416</v>
      </c>
      <c r="I58" s="16" t="s">
        <v>848</v>
      </c>
      <c r="J58" s="16" t="s">
        <v>866</v>
      </c>
      <c r="K58" s="16" t="s">
        <v>867</v>
      </c>
      <c r="L58" s="16" t="s">
        <v>868</v>
      </c>
      <c r="M58" s="16" t="s">
        <v>869</v>
      </c>
      <c r="N58" s="16"/>
      <c r="O58" s="16"/>
      <c r="P58" s="16"/>
      <c r="Q58" s="16"/>
      <c r="R58" s="16" t="s">
        <v>143</v>
      </c>
      <c r="S58" s="16" t="s">
        <v>144</v>
      </c>
      <c r="T58" s="16" t="s">
        <v>454</v>
      </c>
    </row>
    <row r="59" spans="1:20" x14ac:dyDescent="0.3">
      <c r="A59" s="16" t="s">
        <v>882</v>
      </c>
      <c r="B59" s="16" t="s">
        <v>182</v>
      </c>
      <c r="C59" s="30">
        <v>46105</v>
      </c>
      <c r="D59" s="30" t="s">
        <v>886</v>
      </c>
      <c r="E59" s="16" t="s">
        <v>396</v>
      </c>
      <c r="F59" s="31" t="s">
        <v>574</v>
      </c>
      <c r="G59" s="31" t="s">
        <v>574</v>
      </c>
      <c r="H59" s="32">
        <v>503</v>
      </c>
      <c r="I59" s="16" t="s">
        <v>883</v>
      </c>
      <c r="J59" s="16" t="s">
        <v>913</v>
      </c>
      <c r="K59" s="16" t="s">
        <v>914</v>
      </c>
      <c r="L59" s="16" t="s">
        <v>915</v>
      </c>
      <c r="M59" s="16" t="s">
        <v>916</v>
      </c>
      <c r="N59" s="16"/>
      <c r="O59" s="16"/>
      <c r="P59" s="16"/>
      <c r="Q59" s="16"/>
      <c r="R59" s="16" t="s">
        <v>884</v>
      </c>
      <c r="S59" s="16" t="s">
        <v>885</v>
      </c>
      <c r="T59" s="16" t="s">
        <v>401</v>
      </c>
    </row>
    <row r="60" spans="1:20" x14ac:dyDescent="0.3">
      <c r="A60" s="16" t="s">
        <v>890</v>
      </c>
      <c r="B60" s="16" t="s">
        <v>194</v>
      </c>
      <c r="C60" s="30">
        <v>46105</v>
      </c>
      <c r="D60" s="30" t="s">
        <v>114</v>
      </c>
      <c r="E60" s="16" t="s">
        <v>396</v>
      </c>
      <c r="F60" s="31" t="s">
        <v>574</v>
      </c>
      <c r="G60" s="31" t="s">
        <v>574</v>
      </c>
      <c r="H60" s="32">
        <v>13071</v>
      </c>
      <c r="I60" s="16" t="s">
        <v>891</v>
      </c>
      <c r="J60" s="16" t="s">
        <v>892</v>
      </c>
      <c r="K60" s="16" t="s">
        <v>893</v>
      </c>
      <c r="L60" s="16" t="s">
        <v>889</v>
      </c>
      <c r="M60" s="16" t="s">
        <v>894</v>
      </c>
      <c r="N60" s="16"/>
      <c r="O60" s="16"/>
      <c r="P60" s="16"/>
      <c r="Q60" s="16"/>
      <c r="R60" s="16" t="s">
        <v>895</v>
      </c>
      <c r="S60" s="16" t="s">
        <v>896</v>
      </c>
      <c r="T60" s="16" t="s">
        <v>401</v>
      </c>
    </row>
    <row r="61" spans="1:20" x14ac:dyDescent="0.3">
      <c r="A61" s="16" t="s">
        <v>899</v>
      </c>
      <c r="B61" s="16" t="s">
        <v>28</v>
      </c>
      <c r="C61" s="30">
        <v>46106</v>
      </c>
      <c r="D61" s="30">
        <v>46163</v>
      </c>
      <c r="E61" s="16" t="s">
        <v>396</v>
      </c>
      <c r="F61" s="31" t="s">
        <v>574</v>
      </c>
      <c r="G61" s="31" t="s">
        <v>574</v>
      </c>
      <c r="H61" s="32">
        <v>12368</v>
      </c>
      <c r="I61" s="16" t="s">
        <v>900</v>
      </c>
      <c r="J61" s="16" t="s">
        <v>917</v>
      </c>
      <c r="K61" s="16" t="s">
        <v>428</v>
      </c>
      <c r="L61" s="16" t="s">
        <v>918</v>
      </c>
      <c r="M61" s="16" t="s">
        <v>919</v>
      </c>
      <c r="N61" s="16"/>
      <c r="O61" s="16"/>
      <c r="P61" s="16"/>
      <c r="Q61" s="16"/>
      <c r="R61" s="16" t="s">
        <v>897</v>
      </c>
      <c r="S61" s="16" t="s">
        <v>898</v>
      </c>
      <c r="T61" s="16" t="s">
        <v>401</v>
      </c>
    </row>
    <row r="62" spans="1:20" x14ac:dyDescent="0.3">
      <c r="A62" s="16" t="s">
        <v>906</v>
      </c>
      <c r="B62" s="16" t="s">
        <v>28</v>
      </c>
      <c r="C62" s="30">
        <v>46106</v>
      </c>
      <c r="D62" s="30">
        <v>46163</v>
      </c>
      <c r="E62" s="16" t="s">
        <v>396</v>
      </c>
      <c r="F62" s="31" t="s">
        <v>574</v>
      </c>
      <c r="G62" s="31" t="s">
        <v>574</v>
      </c>
      <c r="H62" s="32">
        <v>6001</v>
      </c>
      <c r="I62" s="16" t="s">
        <v>903</v>
      </c>
      <c r="J62" s="16" t="s">
        <v>920</v>
      </c>
      <c r="K62" s="16" t="s">
        <v>428</v>
      </c>
      <c r="L62" s="16" t="s">
        <v>921</v>
      </c>
      <c r="M62" s="16" t="s">
        <v>922</v>
      </c>
      <c r="N62" s="16"/>
      <c r="O62" s="16"/>
      <c r="P62" s="16"/>
      <c r="Q62" s="16"/>
      <c r="R62" s="16" t="s">
        <v>897</v>
      </c>
      <c r="S62" s="16" t="s">
        <v>898</v>
      </c>
      <c r="T62" s="16" t="s">
        <v>401</v>
      </c>
    </row>
    <row r="63" spans="1:20" x14ac:dyDescent="0.3">
      <c r="A63" s="16" t="s">
        <v>901</v>
      </c>
      <c r="B63" s="16" t="s">
        <v>28</v>
      </c>
      <c r="C63" s="30">
        <v>46106</v>
      </c>
      <c r="D63" s="30">
        <v>46163</v>
      </c>
      <c r="E63" s="16" t="s">
        <v>396</v>
      </c>
      <c r="F63" s="31" t="s">
        <v>574</v>
      </c>
      <c r="G63" s="31" t="s">
        <v>574</v>
      </c>
      <c r="H63" s="32">
        <v>922</v>
      </c>
      <c r="I63" s="16" t="s">
        <v>902</v>
      </c>
      <c r="J63" s="16" t="s">
        <v>923</v>
      </c>
      <c r="K63" s="16" t="s">
        <v>428</v>
      </c>
      <c r="L63" s="16" t="s">
        <v>924</v>
      </c>
      <c r="M63" s="16" t="s">
        <v>925</v>
      </c>
      <c r="N63" s="16"/>
      <c r="O63" s="16"/>
      <c r="P63" s="16"/>
      <c r="Q63" s="16"/>
      <c r="R63" s="16" t="s">
        <v>897</v>
      </c>
      <c r="S63" s="16" t="s">
        <v>898</v>
      </c>
      <c r="T63" s="16" t="s">
        <v>401</v>
      </c>
    </row>
    <row r="64" spans="1:20" x14ac:dyDescent="0.3">
      <c r="A64" s="16" t="s">
        <v>905</v>
      </c>
      <c r="B64" s="16" t="s">
        <v>28</v>
      </c>
      <c r="C64" s="30">
        <v>46106</v>
      </c>
      <c r="D64" s="30" t="s">
        <v>69</v>
      </c>
      <c r="E64" s="16" t="s">
        <v>396</v>
      </c>
      <c r="F64" s="31" t="s">
        <v>574</v>
      </c>
      <c r="G64" s="31" t="s">
        <v>574</v>
      </c>
      <c r="H64" s="32">
        <v>34840</v>
      </c>
      <c r="I64" s="16" t="s">
        <v>904</v>
      </c>
      <c r="J64" s="16" t="s">
        <v>928</v>
      </c>
      <c r="K64" s="16" t="s">
        <v>428</v>
      </c>
      <c r="L64" s="16" t="s">
        <v>926</v>
      </c>
      <c r="M64" s="16" t="s">
        <v>927</v>
      </c>
      <c r="N64" s="16"/>
      <c r="O64" s="16"/>
      <c r="P64" s="16"/>
      <c r="Q64" s="16"/>
      <c r="R64" s="16" t="s">
        <v>897</v>
      </c>
      <c r="S64" s="16" t="s">
        <v>898</v>
      </c>
      <c r="T64" s="16" t="s">
        <v>401</v>
      </c>
    </row>
    <row r="65" spans="1:20" x14ac:dyDescent="0.3">
      <c r="A65" s="16" t="s">
        <v>907</v>
      </c>
      <c r="B65" s="16" t="s">
        <v>28</v>
      </c>
      <c r="C65" s="30">
        <v>46106</v>
      </c>
      <c r="D65" s="30" t="s">
        <v>114</v>
      </c>
      <c r="E65" s="16" t="s">
        <v>396</v>
      </c>
      <c r="F65" s="31" t="s">
        <v>574</v>
      </c>
      <c r="G65" s="31" t="s">
        <v>574</v>
      </c>
      <c r="H65" s="32">
        <v>2375</v>
      </c>
      <c r="I65" s="16" t="s">
        <v>908</v>
      </c>
      <c r="J65" s="16" t="s">
        <v>930</v>
      </c>
      <c r="K65" s="16" t="s">
        <v>931</v>
      </c>
      <c r="L65" s="16" t="s">
        <v>929</v>
      </c>
      <c r="M65" s="16" t="s">
        <v>932</v>
      </c>
      <c r="N65" s="16"/>
      <c r="O65" s="16"/>
      <c r="P65" s="16"/>
      <c r="Q65" s="16"/>
      <c r="R65" s="16" t="s">
        <v>909</v>
      </c>
      <c r="S65" s="16" t="s">
        <v>910</v>
      </c>
      <c r="T65" s="16" t="s">
        <v>401</v>
      </c>
    </row>
    <row r="66" spans="1:20" x14ac:dyDescent="0.3">
      <c r="A66" s="16" t="s">
        <v>911</v>
      </c>
      <c r="B66" s="16" t="s">
        <v>28</v>
      </c>
      <c r="C66" s="30">
        <v>46106</v>
      </c>
      <c r="D66" s="30">
        <v>46163</v>
      </c>
      <c r="E66" s="16" t="s">
        <v>396</v>
      </c>
      <c r="F66" s="31" t="s">
        <v>574</v>
      </c>
      <c r="G66" s="31" t="s">
        <v>574</v>
      </c>
      <c r="H66" s="32">
        <v>1289</v>
      </c>
      <c r="I66" s="16" t="s">
        <v>912</v>
      </c>
      <c r="J66" s="16" t="s">
        <v>933</v>
      </c>
      <c r="K66" s="16" t="s">
        <v>428</v>
      </c>
      <c r="L66" s="16" t="s">
        <v>934</v>
      </c>
      <c r="M66" s="16" t="s">
        <v>935</v>
      </c>
      <c r="N66" s="16"/>
      <c r="O66" s="16"/>
      <c r="P66" s="16"/>
      <c r="Q66" s="16"/>
      <c r="R66" s="16" t="s">
        <v>909</v>
      </c>
      <c r="S66" s="16" t="s">
        <v>910</v>
      </c>
      <c r="T66" s="16" t="s">
        <v>401</v>
      </c>
    </row>
    <row r="67" spans="1:20" x14ac:dyDescent="0.3">
      <c r="A67" s="16" t="s">
        <v>943</v>
      </c>
      <c r="B67" s="16" t="s">
        <v>16</v>
      </c>
      <c r="C67" s="30">
        <v>46163</v>
      </c>
      <c r="D67" s="30" t="s">
        <v>114</v>
      </c>
      <c r="E67" s="16" t="s">
        <v>396</v>
      </c>
      <c r="F67" s="31">
        <v>69</v>
      </c>
      <c r="G67" s="31">
        <f t="shared" ref="G67" si="3">(F67*1000000*$B$2)/10000000</f>
        <v>622.79399999999998</v>
      </c>
      <c r="H67" s="32">
        <v>671</v>
      </c>
      <c r="I67" s="16" t="s">
        <v>944</v>
      </c>
      <c r="J67" s="16" t="s">
        <v>947</v>
      </c>
      <c r="K67" s="16" t="s">
        <v>948</v>
      </c>
      <c r="L67" s="16" t="s">
        <v>949</v>
      </c>
      <c r="M67" s="16" t="s">
        <v>950</v>
      </c>
      <c r="N67" s="16"/>
      <c r="O67" s="16"/>
      <c r="P67" s="16"/>
      <c r="Q67" s="16"/>
      <c r="R67" s="16" t="s">
        <v>945</v>
      </c>
      <c r="S67" s="16" t="s">
        <v>946</v>
      </c>
      <c r="T67" s="16" t="s">
        <v>401</v>
      </c>
    </row>
  </sheetData>
  <autoFilter ref="A7:T66" xr:uid="{54EEA4A4-EA88-4100-9CE4-58BA65D723B6}"/>
  <conditionalFormatting sqref="A8:A1048576">
    <cfRule type="duplicateValues" dxfId="16" priority="2"/>
  </conditionalFormatting>
  <conditionalFormatting sqref="I8:I1048576">
    <cfRule type="duplicateValues" dxfId="15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49DE-A5CB-45C4-9EB8-3B13712D42B3}">
  <dimension ref="A1:M136"/>
  <sheetViews>
    <sheetView tabSelected="1" zoomScale="85" zoomScaleNormal="85" workbookViewId="0">
      <selection activeCell="A136" sqref="A136"/>
    </sheetView>
  </sheetViews>
  <sheetFormatPr defaultColWidth="22.54296875" defaultRowHeight="12" outlineLevelCol="1" x14ac:dyDescent="0.3"/>
  <cols>
    <col min="1" max="1" width="36" style="18" customWidth="1"/>
    <col min="2" max="2" width="27.54296875" style="18" customWidth="1" outlineLevel="1"/>
    <col min="3" max="3" width="27.54296875" style="18" customWidth="1"/>
    <col min="4" max="4" width="22.54296875" style="18"/>
    <col min="5" max="9" width="22.54296875" style="19"/>
    <col min="10" max="13" width="22.54296875" style="18" outlineLevel="1"/>
    <col min="14" max="16384" width="22.54296875" style="18"/>
  </cols>
  <sheetData>
    <row r="1" spans="1:13" x14ac:dyDescent="0.3">
      <c r="A1" s="17" t="s">
        <v>639</v>
      </c>
      <c r="C1" s="17">
        <f ca="1">MIN(J7:M1048576)</f>
        <v>0</v>
      </c>
      <c r="D1" s="18" t="s">
        <v>640</v>
      </c>
      <c r="E1" s="18">
        <f>SUBTOTAL(3,A7:A1048576)</f>
        <v>130</v>
      </c>
      <c r="F1" s="18"/>
      <c r="G1" s="18"/>
      <c r="J1" s="19"/>
    </row>
    <row r="2" spans="1:13" x14ac:dyDescent="0.3">
      <c r="D2" s="20" t="s">
        <v>641</v>
      </c>
      <c r="E2" s="20">
        <f>E1-'PE names final'!A2-'PE porfolio names final'!A4</f>
        <v>0</v>
      </c>
    </row>
    <row r="3" spans="1:13" s="1" customFormat="1" x14ac:dyDescent="0.3"/>
    <row r="4" spans="1:13" s="19" customFormat="1" x14ac:dyDescent="0.3">
      <c r="B4" s="18"/>
      <c r="D4" s="18"/>
    </row>
    <row r="5" spans="1:13" s="19" customFormat="1" x14ac:dyDescent="0.3">
      <c r="B5" s="18" t="str">
        <f>IF(COUNTIF(B7:B1048576,"Error")&gt;0,"Error", "Go")</f>
        <v>Go</v>
      </c>
      <c r="C5" s="18" t="str">
        <f>IF(COUNTIF(C7:C1048576,"Error")&gt;0,"Error", "Go")</f>
        <v>Go</v>
      </c>
      <c r="D5" s="18"/>
      <c r="E5" s="18" t="str">
        <f>IF(COUNTIF(E7:E1048576,"Error")&gt;0,"Error", "Go")</f>
        <v>Go</v>
      </c>
    </row>
    <row r="6" spans="1:13" x14ac:dyDescent="0.3">
      <c r="A6" s="21" t="s">
        <v>642</v>
      </c>
      <c r="B6" s="22" t="s">
        <v>643</v>
      </c>
      <c r="C6" s="22" t="s">
        <v>644</v>
      </c>
      <c r="D6" s="22" t="s">
        <v>645</v>
      </c>
      <c r="E6" s="23" t="s">
        <v>4</v>
      </c>
      <c r="F6" s="23" t="s">
        <v>646</v>
      </c>
      <c r="G6" s="23" t="s">
        <v>646</v>
      </c>
      <c r="H6" s="23" t="s">
        <v>646</v>
      </c>
      <c r="I6" s="23" t="s">
        <v>646</v>
      </c>
      <c r="J6" s="24" t="s">
        <v>647</v>
      </c>
      <c r="K6" s="25"/>
      <c r="L6" s="25"/>
      <c r="M6" s="26"/>
    </row>
    <row r="7" spans="1:13" x14ac:dyDescent="0.3">
      <c r="A7" s="27" t="s">
        <v>15</v>
      </c>
      <c r="B7" s="18" t="str">
        <f>IF(COUNTIF('PE names final'!A:A, A7)+COUNTIF('PE porfolio names final'!A:A,A7)=1, "Yes", "Error")</f>
        <v>Yes</v>
      </c>
      <c r="C7" s="18" t="str" cm="1">
        <f t="array" ref="C7">_xlfn.IFS(AND(COUNTIF('PE names final'!A:A,A7)&gt;0,COUNTIF('PE porfolio names final'!A:A,A7)&gt;0),"Error",COUNTIF('PE names final'!A:A,A7)&gt;0,"PE",COUNTIF('PE porfolio names final'!A:A,A7)&gt;0,"Portfolio",TRUE,"")</f>
        <v>PE</v>
      </c>
      <c r="D7" s="19">
        <f>_xlfn.LET(_xlpm.L,IFERROR(_xlfn.XLOOKUP(A7,'PE names final'!A:A,'PE names final'!C:C),_xlfn.XLOOKUP(A7,'PE porfolio names final'!A:A,'PE porfolio names final'!C:C,"")),IF(_xlpm.L=0,"",_xlpm.L))</f>
        <v>46034</v>
      </c>
      <c r="E7" s="19">
        <f>_xlfn.LET(_xlpm.d,IFERROR(_xlfn.XLOOKUP(A7,'PE names final'!A:A,'PE names final'!D:D),_xlfn.XLOOKUP(A7,'PE porfolio names final'!A:A,'PE porfolio names final'!D:D,"")),IF(_xlpm.d=0,"",IF(_xlpm.d&lt;D7,"Error",_xlpm.d)))</f>
        <v>46091</v>
      </c>
      <c r="F7" s="19">
        <f t="shared" ref="F7:F38" si="0">IF(ISNUMBER($E7),D7+14,"")</f>
        <v>46048</v>
      </c>
      <c r="G7" s="19">
        <f t="shared" ref="G7:I26" si="1">IF(ISNUMBER($E7),F7+14,"")</f>
        <v>46062</v>
      </c>
      <c r="H7" s="19">
        <f t="shared" si="1"/>
        <v>46076</v>
      </c>
      <c r="I7" s="19">
        <f t="shared" si="1"/>
        <v>46090</v>
      </c>
      <c r="J7" s="27" t="str">
        <f ca="1">IF(NOT(ISNUMBER($E7)),"",IF($E7&gt;=F7,"Done",F7-TODAY()))</f>
        <v>Done</v>
      </c>
      <c r="K7" s="18" t="str">
        <f t="shared" ref="K7:K70" ca="1" si="2">IF(NOT(ISNUMBER($E7)),"",IF($E7&gt;=G7,"Done",G7-TODAY()))</f>
        <v>Done</v>
      </c>
      <c r="L7" s="18" t="str">
        <f t="shared" ref="L7:L70" ca="1" si="3">IF(NOT(ISNUMBER($E7)),"",IF($E7&gt;=H7,"Done",H7-TODAY()))</f>
        <v>Done</v>
      </c>
      <c r="M7" s="28" t="str">
        <f t="shared" ref="M7:M70" ca="1" si="4">IF(NOT(ISNUMBER($E7)),"",IF($E7&gt;=I7,"Done",I7-TODAY()))</f>
        <v>Done</v>
      </c>
    </row>
    <row r="8" spans="1:13" x14ac:dyDescent="0.3">
      <c r="A8" s="27" t="s">
        <v>27</v>
      </c>
      <c r="B8" s="18" t="str">
        <f>IF(COUNTIF('PE names final'!A:A, A8)+COUNTIF('PE porfolio names final'!A:A,A8)=1, "Yes", "Error")</f>
        <v>Yes</v>
      </c>
      <c r="C8" s="18" t="str" cm="1">
        <f t="array" ref="C8">_xlfn.IFS(AND(COUNTIF('PE names final'!A:A,A8)&gt;0,COUNTIF('PE porfolio names final'!A:A,A8)&gt;0),"PE &amp; Portfolio",COUNTIF('PE names final'!A:A,A8)&gt;0,"PE",COUNTIF('PE porfolio names final'!A:A,A8)&gt;0,"Portfolio",TRUE,"")</f>
        <v>PE</v>
      </c>
      <c r="D8" s="19">
        <f>_xlfn.LET(_xlpm.L,IFERROR(_xlfn.XLOOKUP(A8,'PE names final'!A:A,'PE names final'!C:C),_xlfn.XLOOKUP(A8,'PE porfolio names final'!A:A,'PE porfolio names final'!C:C,"")),IF(_xlpm.L=0,"",_xlpm.L))</f>
        <v>46055</v>
      </c>
      <c r="E8" s="19" t="str">
        <f>_xlfn.LET(_xlpm.d,IFERROR(_xlfn.XLOOKUP(A8,'PE names final'!A:A,'PE names final'!D:D),_xlfn.XLOOKUP(A8,'PE porfolio names final'!A:A,'PE porfolio names final'!D:D,"")),IF(_xlpm.d=0,"",IF(_xlpm.d&lt;D8,"Error",_xlpm.d)))</f>
        <v>Got response</v>
      </c>
      <c r="F8" s="19" t="str">
        <f t="shared" si="0"/>
        <v/>
      </c>
      <c r="G8" s="19" t="str">
        <f t="shared" si="1"/>
        <v/>
      </c>
      <c r="H8" s="19" t="str">
        <f t="shared" si="1"/>
        <v/>
      </c>
      <c r="I8" s="19" t="str">
        <f t="shared" si="1"/>
        <v/>
      </c>
      <c r="J8" s="27" t="str">
        <f t="shared" ref="J8:J71" ca="1" si="5">IF(NOT(ISNUMBER($E8)),"",IF($E8&gt;=F8,"Done",F8-TODAY()))</f>
        <v/>
      </c>
      <c r="K8" s="18" t="str">
        <f t="shared" ca="1" si="2"/>
        <v/>
      </c>
      <c r="L8" s="18" t="str">
        <f t="shared" ca="1" si="3"/>
        <v/>
      </c>
      <c r="M8" s="28" t="str">
        <f t="shared" ca="1" si="4"/>
        <v/>
      </c>
    </row>
    <row r="9" spans="1:13" x14ac:dyDescent="0.3">
      <c r="A9" s="27" t="s">
        <v>34</v>
      </c>
      <c r="B9" s="18" t="str">
        <f>IF(COUNTIF('PE names final'!A:A, A9)+COUNTIF('PE porfolio names final'!A:A,A9)=1, "Yes", "Error")</f>
        <v>Yes</v>
      </c>
      <c r="C9" s="18" t="str" cm="1">
        <f t="array" ref="C9">_xlfn.IFS(AND(COUNTIF('PE names final'!A:A,A9)&gt;0,COUNTIF('PE porfolio names final'!A:A,A9)&gt;0),"PE &amp; Portfolio",COUNTIF('PE names final'!A:A,A9)&gt;0,"PE",COUNTIF('PE porfolio names final'!A:A,A9)&gt;0,"Portfolio",TRUE,"")</f>
        <v>PE</v>
      </c>
      <c r="D9" s="19">
        <f>_xlfn.LET(_xlpm.L,IFERROR(_xlfn.XLOOKUP(A9,'PE names final'!A:A,'PE names final'!C:C),_xlfn.XLOOKUP(A9,'PE porfolio names final'!A:A,'PE porfolio names final'!C:C,"")),IF(_xlpm.L=0,"",_xlpm.L))</f>
        <v>46051</v>
      </c>
      <c r="E9" s="19">
        <f>_xlfn.LET(_xlpm.d,IFERROR(_xlfn.XLOOKUP(A9,'PE names final'!A:A,'PE names final'!D:D),_xlfn.XLOOKUP(A9,'PE porfolio names final'!A:A,'PE porfolio names final'!D:D,"")),IF(_xlpm.d=0,"",IF(_xlpm.d&lt;D9,"Error",_xlpm.d)))</f>
        <v>46107</v>
      </c>
      <c r="F9" s="19">
        <f t="shared" si="0"/>
        <v>46065</v>
      </c>
      <c r="G9" s="19">
        <f t="shared" si="1"/>
        <v>46079</v>
      </c>
      <c r="H9" s="19">
        <f t="shared" si="1"/>
        <v>46093</v>
      </c>
      <c r="I9" s="19">
        <f t="shared" si="1"/>
        <v>46107</v>
      </c>
      <c r="J9" s="27" t="str">
        <f t="shared" ca="1" si="5"/>
        <v>Done</v>
      </c>
      <c r="K9" s="18" t="str">
        <f t="shared" ca="1" si="2"/>
        <v>Done</v>
      </c>
      <c r="L9" s="18" t="str">
        <f t="shared" ca="1" si="3"/>
        <v>Done</v>
      </c>
      <c r="M9" s="28" t="str">
        <f t="shared" ca="1" si="4"/>
        <v>Done</v>
      </c>
    </row>
    <row r="10" spans="1:13" x14ac:dyDescent="0.3">
      <c r="A10" s="27" t="s">
        <v>40</v>
      </c>
      <c r="B10" s="18" t="str">
        <f>IF(COUNTIF('PE names final'!A:A, A10)+COUNTIF('PE porfolio names final'!A:A,A10)=1, "Yes", "Error")</f>
        <v>Yes</v>
      </c>
      <c r="C10" s="18" t="str" cm="1">
        <f t="array" ref="C10">_xlfn.IFS(AND(COUNTIF('PE names final'!A:A,A10)&gt;0,COUNTIF('PE porfolio names final'!A:A,A10)&gt;0),"PE &amp; Portfolio",COUNTIF('PE names final'!A:A,A10)&gt;0,"PE",COUNTIF('PE porfolio names final'!A:A,A10)&gt;0,"Portfolio",TRUE,"")</f>
        <v>PE</v>
      </c>
      <c r="D10" s="19">
        <f>_xlfn.LET(_xlpm.L,IFERROR(_xlfn.XLOOKUP(A10,'PE names final'!A:A,'PE names final'!C:C),_xlfn.XLOOKUP(A10,'PE porfolio names final'!A:A,'PE porfolio names final'!C:C,"")),IF(_xlpm.L=0,"",_xlpm.L))</f>
        <v>46051</v>
      </c>
      <c r="E10" s="19">
        <f>_xlfn.LET(_xlpm.d,IFERROR(_xlfn.XLOOKUP(A10,'PE names final'!A:A,'PE names final'!D:D),_xlfn.XLOOKUP(A10,'PE porfolio names final'!A:A,'PE porfolio names final'!D:D,"")),IF(_xlpm.d=0,"",IF(_xlpm.d&lt;D10,"Error",_xlpm.d)))</f>
        <v>46107</v>
      </c>
      <c r="F10" s="19">
        <f t="shared" si="0"/>
        <v>46065</v>
      </c>
      <c r="G10" s="19">
        <f t="shared" si="1"/>
        <v>46079</v>
      </c>
      <c r="H10" s="19">
        <f t="shared" si="1"/>
        <v>46093</v>
      </c>
      <c r="I10" s="19">
        <f t="shared" si="1"/>
        <v>46107</v>
      </c>
      <c r="J10" s="27" t="str">
        <f t="shared" ca="1" si="5"/>
        <v>Done</v>
      </c>
      <c r="K10" s="18" t="str">
        <f t="shared" ca="1" si="2"/>
        <v>Done</v>
      </c>
      <c r="L10" s="18" t="str">
        <f t="shared" ca="1" si="3"/>
        <v>Done</v>
      </c>
      <c r="M10" s="28" t="str">
        <f t="shared" ca="1" si="4"/>
        <v>Done</v>
      </c>
    </row>
    <row r="11" spans="1:13" x14ac:dyDescent="0.3">
      <c r="A11" s="27" t="s">
        <v>46</v>
      </c>
      <c r="B11" s="18" t="str">
        <f>IF(COUNTIF('PE names final'!A:A, A11)+COUNTIF('PE porfolio names final'!A:A,A11)=1, "Yes", "Error")</f>
        <v>Yes</v>
      </c>
      <c r="C11" s="18" t="str" cm="1">
        <f t="array" ref="C11">_xlfn.IFS(AND(COUNTIF('PE names final'!A:A,A11)&gt;0,COUNTIF('PE porfolio names final'!A:A,A11)&gt;0),"PE &amp; Portfolio",COUNTIF('PE names final'!A:A,A11)&gt;0,"PE",COUNTIF('PE porfolio names final'!A:A,A11)&gt;0,"Portfolio",TRUE,"")</f>
        <v>PE</v>
      </c>
      <c r="D11" s="19">
        <f>_xlfn.LET(_xlpm.L,IFERROR(_xlfn.XLOOKUP(A11,'PE names final'!A:A,'PE names final'!C:C),_xlfn.XLOOKUP(A11,'PE porfolio names final'!A:A,'PE porfolio names final'!C:C,"")),IF(_xlpm.L=0,"",_xlpm.L))</f>
        <v>46043</v>
      </c>
      <c r="E11" s="19">
        <f>_xlfn.LET(_xlpm.d,IFERROR(_xlfn.XLOOKUP(A11,'PE names final'!A:A,'PE names final'!D:D),_xlfn.XLOOKUP(A11,'PE porfolio names final'!A:A,'PE porfolio names final'!D:D,"")),IF(_xlpm.d=0,"",IF(_xlpm.d&lt;D11,"Error",_xlpm.d)))</f>
        <v>46099</v>
      </c>
      <c r="F11" s="19">
        <f t="shared" si="0"/>
        <v>46057</v>
      </c>
      <c r="G11" s="19">
        <f t="shared" si="1"/>
        <v>46071</v>
      </c>
      <c r="H11" s="19">
        <f t="shared" si="1"/>
        <v>46085</v>
      </c>
      <c r="I11" s="19">
        <f t="shared" si="1"/>
        <v>46099</v>
      </c>
      <c r="J11" s="27" t="str">
        <f t="shared" ca="1" si="5"/>
        <v>Done</v>
      </c>
      <c r="K11" s="18" t="str">
        <f t="shared" ca="1" si="2"/>
        <v>Done</v>
      </c>
      <c r="L11" s="18" t="str">
        <f t="shared" ca="1" si="3"/>
        <v>Done</v>
      </c>
      <c r="M11" s="28" t="str">
        <f t="shared" ca="1" si="4"/>
        <v>Done</v>
      </c>
    </row>
    <row r="12" spans="1:13" x14ac:dyDescent="0.3">
      <c r="A12" s="27" t="s">
        <v>52</v>
      </c>
      <c r="B12" s="18" t="str">
        <f>IF(COUNTIF('PE names final'!A:A, A12)+COUNTIF('PE porfolio names final'!A:A,A12)=1, "Yes", "Error")</f>
        <v>Yes</v>
      </c>
      <c r="C12" s="18" t="str" cm="1">
        <f t="array" ref="C12">_xlfn.IFS(AND(COUNTIF('PE names final'!A:A,A12)&gt;0,COUNTIF('PE porfolio names final'!A:A,A12)&gt;0),"PE &amp; Portfolio",COUNTIF('PE names final'!A:A,A12)&gt;0,"PE",COUNTIF('PE porfolio names final'!A:A,A12)&gt;0,"Portfolio",TRUE,"")</f>
        <v>PE</v>
      </c>
      <c r="D12" s="19">
        <f>_xlfn.LET(_xlpm.L,IFERROR(_xlfn.XLOOKUP(A12,'PE names final'!A:A,'PE names final'!C:C),_xlfn.XLOOKUP(A12,'PE porfolio names final'!A:A,'PE porfolio names final'!C:C,"")),IF(_xlpm.L=0,"",_xlpm.L))</f>
        <v>46062</v>
      </c>
      <c r="E12" s="19">
        <f>_xlfn.LET(_xlpm.d,IFERROR(_xlfn.XLOOKUP(A12,'PE names final'!A:A,'PE names final'!D:D),_xlfn.XLOOKUP(A12,'PE porfolio names final'!A:A,'PE porfolio names final'!D:D,"")),IF(_xlpm.d=0,"",IF(_xlpm.d&lt;D12,"Error",_xlpm.d)))</f>
        <v>46120</v>
      </c>
      <c r="F12" s="19">
        <f t="shared" si="0"/>
        <v>46076</v>
      </c>
      <c r="G12" s="19">
        <f t="shared" si="1"/>
        <v>46090</v>
      </c>
      <c r="H12" s="19">
        <f t="shared" si="1"/>
        <v>46104</v>
      </c>
      <c r="I12" s="19">
        <f t="shared" si="1"/>
        <v>46118</v>
      </c>
      <c r="J12" s="27" t="str">
        <f t="shared" ca="1" si="5"/>
        <v>Done</v>
      </c>
      <c r="K12" s="18" t="str">
        <f t="shared" ca="1" si="2"/>
        <v>Done</v>
      </c>
      <c r="L12" s="18" t="str">
        <f t="shared" ca="1" si="3"/>
        <v>Done</v>
      </c>
      <c r="M12" s="28" t="str">
        <f t="shared" ca="1" si="4"/>
        <v>Done</v>
      </c>
    </row>
    <row r="13" spans="1:13" x14ac:dyDescent="0.3">
      <c r="A13" s="27" t="s">
        <v>57</v>
      </c>
      <c r="B13" s="18" t="str">
        <f>IF(COUNTIF('PE names final'!A:A, A13)+COUNTIF('PE porfolio names final'!A:A,A13)=1, "Yes", "Error")</f>
        <v>Yes</v>
      </c>
      <c r="C13" s="18" t="str" cm="1">
        <f t="array" ref="C13">_xlfn.IFS(AND(COUNTIF('PE names final'!A:A,A13)&gt;0,COUNTIF('PE porfolio names final'!A:A,A13)&gt;0),"PE &amp; Portfolio",COUNTIF('PE names final'!A:A,A13)&gt;0,"PE",COUNTIF('PE porfolio names final'!A:A,A13)&gt;0,"Portfolio",TRUE,"")</f>
        <v>PE</v>
      </c>
      <c r="D13" s="19">
        <f>_xlfn.LET(_xlpm.L,IFERROR(_xlfn.XLOOKUP(A13,'PE names final'!A:A,'PE names final'!C:C),_xlfn.XLOOKUP(A13,'PE porfolio names final'!A:A,'PE porfolio names final'!C:C,"")),IF(_xlpm.L=0,"",_xlpm.L))</f>
        <v>46051</v>
      </c>
      <c r="E13" s="19">
        <f>_xlfn.LET(_xlpm.d,IFERROR(_xlfn.XLOOKUP(A13,'PE names final'!A:A,'PE names final'!D:D),_xlfn.XLOOKUP(A13,'PE porfolio names final'!A:A,'PE porfolio names final'!D:D,"")),IF(_xlpm.d=0,"",IF(_xlpm.d&lt;D13,"Error",_xlpm.d)))</f>
        <v>46107</v>
      </c>
      <c r="F13" s="19">
        <f t="shared" si="0"/>
        <v>46065</v>
      </c>
      <c r="G13" s="19">
        <f t="shared" si="1"/>
        <v>46079</v>
      </c>
      <c r="H13" s="19">
        <f t="shared" si="1"/>
        <v>46093</v>
      </c>
      <c r="I13" s="19">
        <f t="shared" si="1"/>
        <v>46107</v>
      </c>
      <c r="J13" s="27" t="str">
        <f t="shared" ca="1" si="5"/>
        <v>Done</v>
      </c>
      <c r="K13" s="18" t="str">
        <f t="shared" ca="1" si="2"/>
        <v>Done</v>
      </c>
      <c r="L13" s="18" t="str">
        <f t="shared" ca="1" si="3"/>
        <v>Done</v>
      </c>
      <c r="M13" s="28" t="str">
        <f t="shared" ca="1" si="4"/>
        <v>Done</v>
      </c>
    </row>
    <row r="14" spans="1:13" x14ac:dyDescent="0.3">
      <c r="A14" s="27" t="s">
        <v>62</v>
      </c>
      <c r="B14" s="18" t="str">
        <f>IF(COUNTIF('PE names final'!A:A, A14)+COUNTIF('PE porfolio names final'!A:A,A14)=1, "Yes", "Error")</f>
        <v>Yes</v>
      </c>
      <c r="C14" s="18" t="str" cm="1">
        <f t="array" ref="C14">_xlfn.IFS(AND(COUNTIF('PE names final'!A:A,A14)&gt;0,COUNTIF('PE porfolio names final'!A:A,A14)&gt;0),"PE &amp; Portfolio",COUNTIF('PE names final'!A:A,A14)&gt;0,"PE",COUNTIF('PE porfolio names final'!A:A,A14)&gt;0,"Portfolio",TRUE,"")</f>
        <v>PE</v>
      </c>
      <c r="D14" s="19">
        <f>_xlfn.LET(_xlpm.L,IFERROR(_xlfn.XLOOKUP(A14,'PE names final'!A:A,'PE names final'!C:C),_xlfn.XLOOKUP(A14,'PE porfolio names final'!A:A,'PE porfolio names final'!C:C,"")),IF(_xlpm.L=0,"",_xlpm.L))</f>
        <v>46062</v>
      </c>
      <c r="E14" s="19">
        <f>_xlfn.LET(_xlpm.d,IFERROR(_xlfn.XLOOKUP(A14,'PE names final'!A:A,'PE names final'!D:D),_xlfn.XLOOKUP(A14,'PE porfolio names final'!A:A,'PE porfolio names final'!D:D,"")),IF(_xlpm.d=0,"",IF(_xlpm.d&lt;D14,"Error",_xlpm.d)))</f>
        <v>46120</v>
      </c>
      <c r="F14" s="19">
        <f t="shared" si="0"/>
        <v>46076</v>
      </c>
      <c r="G14" s="19">
        <f t="shared" si="1"/>
        <v>46090</v>
      </c>
      <c r="H14" s="19">
        <f t="shared" si="1"/>
        <v>46104</v>
      </c>
      <c r="I14" s="19">
        <f t="shared" si="1"/>
        <v>46118</v>
      </c>
      <c r="J14" s="27" t="str">
        <f t="shared" ca="1" si="5"/>
        <v>Done</v>
      </c>
      <c r="K14" s="18" t="str">
        <f t="shared" ca="1" si="2"/>
        <v>Done</v>
      </c>
      <c r="L14" s="18" t="str">
        <f t="shared" ca="1" si="3"/>
        <v>Done</v>
      </c>
      <c r="M14" s="28" t="str">
        <f t="shared" ca="1" si="4"/>
        <v>Done</v>
      </c>
    </row>
    <row r="15" spans="1:13" x14ac:dyDescent="0.3">
      <c r="A15" s="27" t="s">
        <v>68</v>
      </c>
      <c r="B15" s="18" t="str">
        <f>IF(COUNTIF('PE names final'!A:A, A15)+COUNTIF('PE porfolio names final'!A:A,A15)=1, "Yes", "Error")</f>
        <v>Yes</v>
      </c>
      <c r="C15" s="18" t="str" cm="1">
        <f t="array" ref="C15">_xlfn.IFS(AND(COUNTIF('PE names final'!A:A,A15)&gt;0,COUNTIF('PE porfolio names final'!A:A,A15)&gt;0),"PE &amp; Portfolio",COUNTIF('PE names final'!A:A,A15)&gt;0,"PE",COUNTIF('PE porfolio names final'!A:A,A15)&gt;0,"Portfolio",TRUE,"")</f>
        <v>PE</v>
      </c>
      <c r="D15" s="19">
        <f>_xlfn.LET(_xlpm.L,IFERROR(_xlfn.XLOOKUP(A15,'PE names final'!A:A,'PE names final'!C:C),_xlfn.XLOOKUP(A15,'PE porfolio names final'!A:A,'PE porfolio names final'!C:C,"")),IF(_xlpm.L=0,"",_xlpm.L))</f>
        <v>46062</v>
      </c>
      <c r="E15" s="19" t="str">
        <f>_xlfn.LET(_xlpm.d,IFERROR(_xlfn.XLOOKUP(A15,'PE names final'!A:A,'PE names final'!D:D),_xlfn.XLOOKUP(A15,'PE porfolio names final'!A:A,'PE porfolio names final'!D:D,"")),IF(_xlpm.d=0,"",IF(_xlpm.d&lt;D15,"Error",_xlpm.d)))</f>
        <v>Bounced</v>
      </c>
      <c r="F15" s="19" t="str">
        <f t="shared" si="0"/>
        <v/>
      </c>
      <c r="G15" s="19" t="str">
        <f t="shared" si="1"/>
        <v/>
      </c>
      <c r="H15" s="19" t="str">
        <f t="shared" si="1"/>
        <v/>
      </c>
      <c r="I15" s="19" t="str">
        <f t="shared" si="1"/>
        <v/>
      </c>
      <c r="J15" s="27" t="str">
        <f t="shared" ca="1" si="5"/>
        <v/>
      </c>
      <c r="K15" s="18" t="str">
        <f t="shared" ca="1" si="2"/>
        <v/>
      </c>
      <c r="L15" s="18" t="str">
        <f t="shared" ca="1" si="3"/>
        <v/>
      </c>
      <c r="M15" s="28" t="str">
        <f t="shared" ca="1" si="4"/>
        <v/>
      </c>
    </row>
    <row r="16" spans="1:13" x14ac:dyDescent="0.3">
      <c r="A16" s="27" t="s">
        <v>74</v>
      </c>
      <c r="B16" s="18" t="str">
        <f>IF(COUNTIF('PE names final'!A:A, A16)+COUNTIF('PE porfolio names final'!A:A,A16)=1, "Yes", "Error")</f>
        <v>Yes</v>
      </c>
      <c r="C16" s="18" t="str" cm="1">
        <f t="array" ref="C16">_xlfn.IFS(AND(COUNTIF('PE names final'!A:A,A16)&gt;0,COUNTIF('PE porfolio names final'!A:A,A16)&gt;0),"PE &amp; Portfolio",COUNTIF('PE names final'!A:A,A16)&gt;0,"PE",COUNTIF('PE porfolio names final'!A:A,A16)&gt;0,"Portfolio",TRUE,"")</f>
        <v>PE</v>
      </c>
      <c r="D16" s="19">
        <f>_xlfn.LET(_xlpm.L,IFERROR(_xlfn.XLOOKUP(A16,'PE names final'!A:A,'PE names final'!C:C),_xlfn.XLOOKUP(A16,'PE porfolio names final'!A:A,'PE porfolio names final'!C:C,"")),IF(_xlpm.L=0,"",_xlpm.L))</f>
        <v>46035</v>
      </c>
      <c r="E16" s="19">
        <f>_xlfn.LET(_xlpm.d,IFERROR(_xlfn.XLOOKUP(A16,'PE names final'!A:A,'PE names final'!D:D),_xlfn.XLOOKUP(A16,'PE porfolio names final'!A:A,'PE porfolio names final'!D:D,"")),IF(_xlpm.d=0,"",IF(_xlpm.d&lt;D16,"Error",_xlpm.d)))</f>
        <v>46091</v>
      </c>
      <c r="F16" s="19">
        <f t="shared" si="0"/>
        <v>46049</v>
      </c>
      <c r="G16" s="19">
        <f t="shared" si="1"/>
        <v>46063</v>
      </c>
      <c r="H16" s="19">
        <f t="shared" si="1"/>
        <v>46077</v>
      </c>
      <c r="I16" s="19">
        <f t="shared" si="1"/>
        <v>46091</v>
      </c>
      <c r="J16" s="27" t="str">
        <f t="shared" ca="1" si="5"/>
        <v>Done</v>
      </c>
      <c r="K16" s="18" t="str">
        <f t="shared" ca="1" si="2"/>
        <v>Done</v>
      </c>
      <c r="L16" s="18" t="str">
        <f t="shared" ca="1" si="3"/>
        <v>Done</v>
      </c>
      <c r="M16" s="28" t="str">
        <f t="shared" ca="1" si="4"/>
        <v>Done</v>
      </c>
    </row>
    <row r="17" spans="1:13" x14ac:dyDescent="0.3">
      <c r="A17" s="27" t="s">
        <v>80</v>
      </c>
      <c r="B17" s="18" t="str">
        <f>IF(COUNTIF('PE names final'!A:A, A17)+COUNTIF('PE porfolio names final'!A:A,A17)=1, "Yes", "Error")</f>
        <v>Yes</v>
      </c>
      <c r="C17" s="18" t="str" cm="1">
        <f t="array" ref="C17">_xlfn.IFS(AND(COUNTIF('PE names final'!A:A,A17)&gt;0,COUNTIF('PE porfolio names final'!A:A,A17)&gt;0),"PE &amp; Portfolio",COUNTIF('PE names final'!A:A,A17)&gt;0,"PE",COUNTIF('PE porfolio names final'!A:A,A17)&gt;0,"Portfolio",TRUE,"")</f>
        <v>PE</v>
      </c>
      <c r="D17" s="19">
        <f>_xlfn.LET(_xlpm.L,IFERROR(_xlfn.XLOOKUP(A17,'PE names final'!A:A,'PE names final'!C:C),_xlfn.XLOOKUP(A17,'PE porfolio names final'!A:A,'PE porfolio names final'!C:C,"")),IF(_xlpm.L=0,"",_xlpm.L))</f>
        <v>46034</v>
      </c>
      <c r="E17" s="19" t="str">
        <f>_xlfn.LET(_xlpm.d,IFERROR(_xlfn.XLOOKUP(A17,'PE names final'!A:A,'PE names final'!D:D),_xlfn.XLOOKUP(A17,'PE porfolio names final'!A:A,'PE porfolio names final'!D:D,"")),IF(_xlpm.d=0,"",IF(_xlpm.d&lt;D17,"Error",_xlpm.d)))</f>
        <v>Got response</v>
      </c>
      <c r="F17" s="19" t="str">
        <f t="shared" si="0"/>
        <v/>
      </c>
      <c r="G17" s="19" t="str">
        <f t="shared" si="1"/>
        <v/>
      </c>
      <c r="H17" s="19" t="str">
        <f t="shared" si="1"/>
        <v/>
      </c>
      <c r="I17" s="19" t="str">
        <f t="shared" si="1"/>
        <v/>
      </c>
      <c r="J17" s="27" t="str">
        <f t="shared" ca="1" si="5"/>
        <v/>
      </c>
      <c r="K17" s="18" t="str">
        <f t="shared" ca="1" si="2"/>
        <v/>
      </c>
      <c r="L17" s="18" t="str">
        <f t="shared" ca="1" si="3"/>
        <v/>
      </c>
      <c r="M17" s="28" t="str">
        <f t="shared" ca="1" si="4"/>
        <v/>
      </c>
    </row>
    <row r="18" spans="1:13" x14ac:dyDescent="0.3">
      <c r="A18" s="27" t="s">
        <v>91</v>
      </c>
      <c r="B18" s="18" t="str">
        <f>IF(COUNTIF('PE names final'!A:A, A18)+COUNTIF('PE porfolio names final'!A:A,A18)=1, "Yes", "Error")</f>
        <v>Yes</v>
      </c>
      <c r="C18" s="18" t="str" cm="1">
        <f t="array" ref="C18">_xlfn.IFS(AND(COUNTIF('PE names final'!A:A,A18)&gt;0,COUNTIF('PE porfolio names final'!A:A,A18)&gt;0),"PE &amp; Portfolio",COUNTIF('PE names final'!A:A,A18)&gt;0,"PE",COUNTIF('PE porfolio names final'!A:A,A18)&gt;0,"Portfolio",TRUE,"")</f>
        <v>PE</v>
      </c>
      <c r="D18" s="19">
        <f>_xlfn.LET(_xlpm.L,IFERROR(_xlfn.XLOOKUP(A18,'PE names final'!A:A,'PE names final'!C:C),_xlfn.XLOOKUP(A18,'PE porfolio names final'!A:A,'PE porfolio names final'!C:C,"")),IF(_xlpm.L=0,"",_xlpm.L))</f>
        <v>46055</v>
      </c>
      <c r="E18" s="19">
        <f>_xlfn.LET(_xlpm.d,IFERROR(_xlfn.XLOOKUP(A18,'PE names final'!A:A,'PE names final'!D:D),_xlfn.XLOOKUP(A18,'PE porfolio names final'!A:A,'PE porfolio names final'!D:D,"")),IF(_xlpm.d=0,"",IF(_xlpm.d&lt;D18,"Error",_xlpm.d)))</f>
        <v>46111</v>
      </c>
      <c r="F18" s="19">
        <f t="shared" si="0"/>
        <v>46069</v>
      </c>
      <c r="G18" s="19">
        <f t="shared" si="1"/>
        <v>46083</v>
      </c>
      <c r="H18" s="19">
        <f t="shared" si="1"/>
        <v>46097</v>
      </c>
      <c r="I18" s="19">
        <f t="shared" si="1"/>
        <v>46111</v>
      </c>
      <c r="J18" s="27" t="str">
        <f t="shared" ca="1" si="5"/>
        <v>Done</v>
      </c>
      <c r="K18" s="18" t="str">
        <f t="shared" ca="1" si="2"/>
        <v>Done</v>
      </c>
      <c r="L18" s="18" t="str">
        <f t="shared" ca="1" si="3"/>
        <v>Done</v>
      </c>
      <c r="M18" s="28" t="str">
        <f t="shared" ca="1" si="4"/>
        <v>Done</v>
      </c>
    </row>
    <row r="19" spans="1:13" x14ac:dyDescent="0.3">
      <c r="A19" s="27" t="s">
        <v>97</v>
      </c>
      <c r="B19" s="18" t="str">
        <f>IF(COUNTIF('PE names final'!A:A, A19)+COUNTIF('PE porfolio names final'!A:A,A19)=1, "Yes", "Error")</f>
        <v>Yes</v>
      </c>
      <c r="C19" s="18" t="str" cm="1">
        <f t="array" ref="C19">_xlfn.IFS(AND(COUNTIF('PE names final'!A:A,A19)&gt;0,COUNTIF('PE porfolio names final'!A:A,A19)&gt;0),"PE &amp; Portfolio",COUNTIF('PE names final'!A:A,A19)&gt;0,"PE",COUNTIF('PE porfolio names final'!A:A,A19)&gt;0,"Portfolio",TRUE,"")</f>
        <v>PE</v>
      </c>
      <c r="D19" s="19">
        <f>_xlfn.LET(_xlpm.L,IFERROR(_xlfn.XLOOKUP(A19,'PE names final'!A:A,'PE names final'!C:C),_xlfn.XLOOKUP(A19,'PE porfolio names final'!A:A,'PE porfolio names final'!C:C,"")),IF(_xlpm.L=0,"",_xlpm.L))</f>
        <v>46034</v>
      </c>
      <c r="E19" s="19">
        <f>_xlfn.LET(_xlpm.d,IFERROR(_xlfn.XLOOKUP(A19,'PE names final'!A:A,'PE names final'!D:D),_xlfn.XLOOKUP(A19,'PE porfolio names final'!A:A,'PE porfolio names final'!D:D,"")),IF(_xlpm.d=0,"",IF(_xlpm.d&lt;D19,"Error",_xlpm.d)))</f>
        <v>46091</v>
      </c>
      <c r="F19" s="19">
        <f t="shared" si="0"/>
        <v>46048</v>
      </c>
      <c r="G19" s="19">
        <f t="shared" si="1"/>
        <v>46062</v>
      </c>
      <c r="H19" s="19">
        <f t="shared" si="1"/>
        <v>46076</v>
      </c>
      <c r="I19" s="19">
        <f t="shared" si="1"/>
        <v>46090</v>
      </c>
      <c r="J19" s="27" t="str">
        <f t="shared" ca="1" si="5"/>
        <v>Done</v>
      </c>
      <c r="K19" s="18" t="str">
        <f t="shared" ca="1" si="2"/>
        <v>Done</v>
      </c>
      <c r="L19" s="18" t="str">
        <f t="shared" ca="1" si="3"/>
        <v>Done</v>
      </c>
      <c r="M19" s="28" t="str">
        <f t="shared" ca="1" si="4"/>
        <v>Done</v>
      </c>
    </row>
    <row r="20" spans="1:13" x14ac:dyDescent="0.3">
      <c r="A20" s="27" t="s">
        <v>103</v>
      </c>
      <c r="B20" s="18" t="str">
        <f>IF(COUNTIF('PE names final'!A:A, A20)+COUNTIF('PE porfolio names final'!A:A,A20)=1, "Yes", "Error")</f>
        <v>Yes</v>
      </c>
      <c r="C20" s="18" t="str" cm="1">
        <f t="array" ref="C20">_xlfn.IFS(AND(COUNTIF('PE names final'!A:A,A20)&gt;0,COUNTIF('PE porfolio names final'!A:A,A20)&gt;0),"PE &amp; Portfolio",COUNTIF('PE names final'!A:A,A20)&gt;0,"PE",COUNTIF('PE porfolio names final'!A:A,A20)&gt;0,"Portfolio",TRUE,"")</f>
        <v>PE</v>
      </c>
      <c r="D20" s="19">
        <f>_xlfn.LET(_xlpm.L,IFERROR(_xlfn.XLOOKUP(A20,'PE names final'!A:A,'PE names final'!C:C),_xlfn.XLOOKUP(A20,'PE porfolio names final'!A:A,'PE porfolio names final'!C:C,"")),IF(_xlpm.L=0,"",_xlpm.L))</f>
        <v>46034</v>
      </c>
      <c r="E20" s="19">
        <f>_xlfn.LET(_xlpm.d,IFERROR(_xlfn.XLOOKUP(A20,'PE names final'!A:A,'PE names final'!D:D),_xlfn.XLOOKUP(A20,'PE porfolio names final'!A:A,'PE porfolio names final'!D:D,"")),IF(_xlpm.d=0,"",IF(_xlpm.d&lt;D20,"Error",_xlpm.d)))</f>
        <v>46091</v>
      </c>
      <c r="F20" s="19">
        <f t="shared" si="0"/>
        <v>46048</v>
      </c>
      <c r="G20" s="19">
        <f t="shared" si="1"/>
        <v>46062</v>
      </c>
      <c r="H20" s="19">
        <f t="shared" si="1"/>
        <v>46076</v>
      </c>
      <c r="I20" s="19">
        <f t="shared" si="1"/>
        <v>46090</v>
      </c>
      <c r="J20" s="27" t="str">
        <f t="shared" ca="1" si="5"/>
        <v>Done</v>
      </c>
      <c r="K20" s="18" t="str">
        <f t="shared" ca="1" si="2"/>
        <v>Done</v>
      </c>
      <c r="L20" s="18" t="str">
        <f t="shared" ca="1" si="3"/>
        <v>Done</v>
      </c>
      <c r="M20" s="28" t="str">
        <f t="shared" ca="1" si="4"/>
        <v>Done</v>
      </c>
    </row>
    <row r="21" spans="1:13" x14ac:dyDescent="0.3">
      <c r="A21" s="27" t="s">
        <v>108</v>
      </c>
      <c r="B21" s="18" t="str">
        <f>IF(COUNTIF('PE names final'!A:A, A21)+COUNTIF('PE porfolio names final'!A:A,A21)=1, "Yes", "Error")</f>
        <v>Yes</v>
      </c>
      <c r="C21" s="18" t="str" cm="1">
        <f t="array" ref="C21">_xlfn.IFS(AND(COUNTIF('PE names final'!A:A,A21)&gt;0,COUNTIF('PE porfolio names final'!A:A,A21)&gt;0),"PE &amp; Portfolio",COUNTIF('PE names final'!A:A,A21)&gt;0,"PE",COUNTIF('PE porfolio names final'!A:A,A21)&gt;0,"Portfolio",TRUE,"")</f>
        <v>PE</v>
      </c>
      <c r="D21" s="19">
        <f>_xlfn.LET(_xlpm.L,IFERROR(_xlfn.XLOOKUP(A21,'PE names final'!A:A,'PE names final'!C:C),_xlfn.XLOOKUP(A21,'PE porfolio names final'!A:A,'PE porfolio names final'!C:C,"")),IF(_xlpm.L=0,"",_xlpm.L))</f>
        <v>46034</v>
      </c>
      <c r="E21" s="19" t="str">
        <f>_xlfn.LET(_xlpm.d,IFERROR(_xlfn.XLOOKUP(A21,'PE names final'!A:A,'PE names final'!D:D),_xlfn.XLOOKUP(A21,'PE porfolio names final'!A:A,'PE porfolio names final'!D:D,"")),IF(_xlpm.d=0,"",IF(_xlpm.d&lt;D21,"Error",_xlpm.d)))</f>
        <v>Got response</v>
      </c>
      <c r="F21" s="19" t="str">
        <f t="shared" si="0"/>
        <v/>
      </c>
      <c r="G21" s="19" t="str">
        <f t="shared" si="1"/>
        <v/>
      </c>
      <c r="H21" s="19" t="str">
        <f t="shared" si="1"/>
        <v/>
      </c>
      <c r="I21" s="19" t="str">
        <f t="shared" si="1"/>
        <v/>
      </c>
      <c r="J21" s="27" t="str">
        <f t="shared" ca="1" si="5"/>
        <v/>
      </c>
      <c r="K21" s="18" t="str">
        <f t="shared" ca="1" si="2"/>
        <v/>
      </c>
      <c r="L21" s="18" t="str">
        <f t="shared" ca="1" si="3"/>
        <v/>
      </c>
      <c r="M21" s="28" t="str">
        <f t="shared" ca="1" si="4"/>
        <v/>
      </c>
    </row>
    <row r="22" spans="1:13" x14ac:dyDescent="0.3">
      <c r="A22" s="27" t="s">
        <v>113</v>
      </c>
      <c r="B22" s="18" t="str">
        <f>IF(COUNTIF('PE names final'!A:A, A22)+COUNTIF('PE porfolio names final'!A:A,A22)=1, "Yes", "Error")</f>
        <v>Yes</v>
      </c>
      <c r="C22" s="18" t="str" cm="1">
        <f t="array" ref="C22">_xlfn.IFS(AND(COUNTIF('PE names final'!A:A,A22)&gt;0,COUNTIF('PE porfolio names final'!A:A,A22)&gt;0),"PE &amp; Portfolio",COUNTIF('PE names final'!A:A,A22)&gt;0,"PE",COUNTIF('PE porfolio names final'!A:A,A22)&gt;0,"Portfolio",TRUE,"")</f>
        <v>PE</v>
      </c>
      <c r="D22" s="19">
        <f>_xlfn.LET(_xlpm.L,IFERROR(_xlfn.XLOOKUP(A22,'PE names final'!A:A,'PE names final'!C:C),_xlfn.XLOOKUP(A22,'PE porfolio names final'!A:A,'PE porfolio names final'!C:C,"")),IF(_xlpm.L=0,"",_xlpm.L))</f>
        <v>45974</v>
      </c>
      <c r="E22" s="19" t="str">
        <f>_xlfn.LET(_xlpm.d,IFERROR(_xlfn.XLOOKUP(A22,'PE names final'!A:A,'PE names final'!D:D),_xlfn.XLOOKUP(A22,'PE porfolio names final'!A:A,'PE porfolio names final'!D:D,"")),IF(_xlpm.d=0,"",IF(_xlpm.d&lt;D22,"Error",_xlpm.d)))</f>
        <v>Got response</v>
      </c>
      <c r="F22" s="19" t="str">
        <f t="shared" si="0"/>
        <v/>
      </c>
      <c r="G22" s="19" t="str">
        <f t="shared" si="1"/>
        <v/>
      </c>
      <c r="H22" s="19" t="str">
        <f t="shared" si="1"/>
        <v/>
      </c>
      <c r="I22" s="19" t="str">
        <f t="shared" si="1"/>
        <v/>
      </c>
      <c r="J22" s="27" t="str">
        <f t="shared" ca="1" si="5"/>
        <v/>
      </c>
      <c r="K22" s="18" t="str">
        <f t="shared" ca="1" si="2"/>
        <v/>
      </c>
      <c r="L22" s="18" t="str">
        <f t="shared" ca="1" si="3"/>
        <v/>
      </c>
      <c r="M22" s="28" t="str">
        <f t="shared" ca="1" si="4"/>
        <v/>
      </c>
    </row>
    <row r="23" spans="1:13" x14ac:dyDescent="0.3">
      <c r="A23" s="27" t="s">
        <v>120</v>
      </c>
      <c r="B23" s="18" t="str">
        <f>IF(COUNTIF('PE names final'!A:A, A23)+COUNTIF('PE porfolio names final'!A:A,A23)=1, "Yes", "Error")</f>
        <v>Yes</v>
      </c>
      <c r="C23" s="18" t="str" cm="1">
        <f t="array" ref="C23">_xlfn.IFS(AND(COUNTIF('PE names final'!A:A,A23)&gt;0,COUNTIF('PE porfolio names final'!A:A,A23)&gt;0),"PE &amp; Portfolio",COUNTIF('PE names final'!A:A,A23)&gt;0,"PE",COUNTIF('PE porfolio names final'!A:A,A23)&gt;0,"Portfolio",TRUE,"")</f>
        <v>PE</v>
      </c>
      <c r="D23" s="19">
        <f>_xlfn.LET(_xlpm.L,IFERROR(_xlfn.XLOOKUP(A23,'PE names final'!A:A,'PE names final'!C:C),_xlfn.XLOOKUP(A23,'PE porfolio names final'!A:A,'PE porfolio names final'!C:C,"")),IF(_xlpm.L=0,"",_xlpm.L))</f>
        <v>46055</v>
      </c>
      <c r="E23" s="19">
        <f>_xlfn.LET(_xlpm.d,IFERROR(_xlfn.XLOOKUP(A23,'PE names final'!A:A,'PE names final'!D:D),_xlfn.XLOOKUP(A23,'PE porfolio names final'!A:A,'PE porfolio names final'!D:D,"")),IF(_xlpm.d=0,"",IF(_xlpm.d&lt;D23,"Error",_xlpm.d)))</f>
        <v>46111</v>
      </c>
      <c r="F23" s="19">
        <f t="shared" si="0"/>
        <v>46069</v>
      </c>
      <c r="G23" s="19">
        <f t="shared" si="1"/>
        <v>46083</v>
      </c>
      <c r="H23" s="19">
        <f t="shared" si="1"/>
        <v>46097</v>
      </c>
      <c r="I23" s="19">
        <f t="shared" si="1"/>
        <v>46111</v>
      </c>
      <c r="J23" s="27" t="str">
        <f t="shared" ca="1" si="5"/>
        <v>Done</v>
      </c>
      <c r="K23" s="18" t="str">
        <f t="shared" ca="1" si="2"/>
        <v>Done</v>
      </c>
      <c r="L23" s="18" t="str">
        <f t="shared" ca="1" si="3"/>
        <v>Done</v>
      </c>
      <c r="M23" s="28" t="str">
        <f t="shared" ca="1" si="4"/>
        <v>Done</v>
      </c>
    </row>
    <row r="24" spans="1:13" x14ac:dyDescent="0.3">
      <c r="A24" s="27" t="s">
        <v>127</v>
      </c>
      <c r="B24" s="18" t="str">
        <f>IF(COUNTIF('PE names final'!A:A, A24)+COUNTIF('PE porfolio names final'!A:A,A24)=1, "Yes", "Error")</f>
        <v>Yes</v>
      </c>
      <c r="C24" s="18" t="str" cm="1">
        <f t="array" ref="C24">_xlfn.IFS(AND(COUNTIF('PE names final'!A:A,A24)&gt;0,COUNTIF('PE porfolio names final'!A:A,A24)&gt;0),"PE &amp; Portfolio",COUNTIF('PE names final'!A:A,A24)&gt;0,"PE",COUNTIF('PE porfolio names final'!A:A,A24)&gt;0,"Portfolio",TRUE,"")</f>
        <v>PE</v>
      </c>
      <c r="D24" s="19">
        <f>_xlfn.LET(_xlpm.L,IFERROR(_xlfn.XLOOKUP(A24,'PE names final'!A:A,'PE names final'!C:C),_xlfn.XLOOKUP(A24,'PE porfolio names final'!A:A,'PE porfolio names final'!C:C,"")),IF(_xlpm.L=0,"",_xlpm.L))</f>
        <v>45974</v>
      </c>
      <c r="E24" s="19" t="str">
        <f>_xlfn.LET(_xlpm.d,IFERROR(_xlfn.XLOOKUP(A24,'PE names final'!A:A,'PE names final'!D:D),_xlfn.XLOOKUP(A24,'PE porfolio names final'!A:A,'PE porfolio names final'!D:D,"")),IF(_xlpm.d=0,"",IF(_xlpm.d&lt;D24,"Error",_xlpm.d)))</f>
        <v>Got response</v>
      </c>
      <c r="F24" s="19" t="str">
        <f t="shared" si="0"/>
        <v/>
      </c>
      <c r="G24" s="19" t="str">
        <f t="shared" si="1"/>
        <v/>
      </c>
      <c r="H24" s="19" t="str">
        <f t="shared" si="1"/>
        <v/>
      </c>
      <c r="I24" s="19" t="str">
        <f t="shared" si="1"/>
        <v/>
      </c>
      <c r="J24" s="27" t="str">
        <f t="shared" ca="1" si="5"/>
        <v/>
      </c>
      <c r="K24" s="18" t="str">
        <f t="shared" ca="1" si="2"/>
        <v/>
      </c>
      <c r="L24" s="18" t="str">
        <f t="shared" ca="1" si="3"/>
        <v/>
      </c>
      <c r="M24" s="28" t="str">
        <f t="shared" ca="1" si="4"/>
        <v/>
      </c>
    </row>
    <row r="25" spans="1:13" x14ac:dyDescent="0.3">
      <c r="A25" s="27" t="s">
        <v>132</v>
      </c>
      <c r="B25" s="18" t="str">
        <f>IF(COUNTIF('PE names final'!A:A, A25)+COUNTIF('PE porfolio names final'!A:A,A25)=1, "Yes", "Error")</f>
        <v>Yes</v>
      </c>
      <c r="C25" s="18" t="str" cm="1">
        <f t="array" ref="C25">_xlfn.IFS(AND(COUNTIF('PE names final'!A:A,A25)&gt;0,COUNTIF('PE porfolio names final'!A:A,A25)&gt;0),"PE &amp; Portfolio",COUNTIF('PE names final'!A:A,A25)&gt;0,"PE",COUNTIF('PE porfolio names final'!A:A,A25)&gt;0,"Portfolio",TRUE,"")</f>
        <v>PE</v>
      </c>
      <c r="D25" s="19">
        <f>_xlfn.LET(_xlpm.L,IFERROR(_xlfn.XLOOKUP(A25,'PE names final'!A:A,'PE names final'!C:C),_xlfn.XLOOKUP(A25,'PE porfolio names final'!A:A,'PE porfolio names final'!C:C,"")),IF(_xlpm.L=0,"",_xlpm.L))</f>
        <v>46055</v>
      </c>
      <c r="E25" s="19">
        <f>_xlfn.LET(_xlpm.d,IFERROR(_xlfn.XLOOKUP(A25,'PE names final'!A:A,'PE names final'!D:D),_xlfn.XLOOKUP(A25,'PE porfolio names final'!A:A,'PE porfolio names final'!D:D,"")),IF(_xlpm.d=0,"",IF(_xlpm.d&lt;D25,"Error",_xlpm.d)))</f>
        <v>46111</v>
      </c>
      <c r="F25" s="19">
        <f t="shared" si="0"/>
        <v>46069</v>
      </c>
      <c r="G25" s="19">
        <f t="shared" si="1"/>
        <v>46083</v>
      </c>
      <c r="H25" s="19">
        <f t="shared" si="1"/>
        <v>46097</v>
      </c>
      <c r="I25" s="19">
        <f t="shared" si="1"/>
        <v>46111</v>
      </c>
      <c r="J25" s="27" t="str">
        <f t="shared" ca="1" si="5"/>
        <v>Done</v>
      </c>
      <c r="K25" s="18" t="str">
        <f t="shared" ca="1" si="2"/>
        <v>Done</v>
      </c>
      <c r="L25" s="18" t="str">
        <f t="shared" ca="1" si="3"/>
        <v>Done</v>
      </c>
      <c r="M25" s="28" t="str">
        <f t="shared" ca="1" si="4"/>
        <v>Done</v>
      </c>
    </row>
    <row r="26" spans="1:13" x14ac:dyDescent="0.3">
      <c r="A26" s="27" t="s">
        <v>138</v>
      </c>
      <c r="B26" s="18" t="str">
        <f>IF(COUNTIF('PE names final'!A:A, A26)+COUNTIF('PE porfolio names final'!A:A,A26)=1, "Yes", "Error")</f>
        <v>Yes</v>
      </c>
      <c r="C26" s="18" t="str" cm="1">
        <f t="array" ref="C26">_xlfn.IFS(AND(COUNTIF('PE names final'!A:A,A26)&gt;0,COUNTIF('PE porfolio names final'!A:A,A26)&gt;0),"PE &amp; Portfolio",COUNTIF('PE names final'!A:A,A26)&gt;0,"PE",COUNTIF('PE porfolio names final'!A:A,A26)&gt;0,"Portfolio",TRUE,"")</f>
        <v>PE</v>
      </c>
      <c r="D26" s="19">
        <f>_xlfn.LET(_xlpm.L,IFERROR(_xlfn.XLOOKUP(A26,'PE names final'!A:A,'PE names final'!C:C),_xlfn.XLOOKUP(A26,'PE porfolio names final'!A:A,'PE porfolio names final'!C:C,"")),IF(_xlpm.L=0,"",_xlpm.L))</f>
        <v>46055</v>
      </c>
      <c r="E26" s="19">
        <f>_xlfn.LET(_xlpm.d,IFERROR(_xlfn.XLOOKUP(A26,'PE names final'!A:A,'PE names final'!D:D),_xlfn.XLOOKUP(A26,'PE porfolio names final'!A:A,'PE porfolio names final'!D:D,"")),IF(_xlpm.d=0,"",IF(_xlpm.d&lt;D26,"Error",_xlpm.d)))</f>
        <v>46111</v>
      </c>
      <c r="F26" s="19">
        <f t="shared" si="0"/>
        <v>46069</v>
      </c>
      <c r="G26" s="19">
        <f t="shared" si="1"/>
        <v>46083</v>
      </c>
      <c r="H26" s="19">
        <f t="shared" si="1"/>
        <v>46097</v>
      </c>
      <c r="I26" s="19">
        <f t="shared" si="1"/>
        <v>46111</v>
      </c>
      <c r="J26" s="27" t="str">
        <f t="shared" ca="1" si="5"/>
        <v>Done</v>
      </c>
      <c r="K26" s="18" t="str">
        <f t="shared" ca="1" si="2"/>
        <v>Done</v>
      </c>
      <c r="L26" s="18" t="str">
        <f t="shared" ca="1" si="3"/>
        <v>Done</v>
      </c>
      <c r="M26" s="28" t="str">
        <f t="shared" ca="1" si="4"/>
        <v>Done</v>
      </c>
    </row>
    <row r="27" spans="1:13" x14ac:dyDescent="0.3">
      <c r="A27" s="27" t="s">
        <v>143</v>
      </c>
      <c r="B27" s="18" t="str">
        <f>IF(COUNTIF('PE names final'!A:A, A27)+COUNTIF('PE porfolio names final'!A:A,A27)=1, "Yes", "Error")</f>
        <v>Yes</v>
      </c>
      <c r="C27" s="18" t="str" cm="1">
        <f t="array" ref="C27">_xlfn.IFS(AND(COUNTIF('PE names final'!A:A,A27)&gt;0,COUNTIF('PE porfolio names final'!A:A,A27)&gt;0),"PE &amp; Portfolio",COUNTIF('PE names final'!A:A,A27)&gt;0,"PE",COUNTIF('PE porfolio names final'!A:A,A27)&gt;0,"Portfolio",TRUE,"")</f>
        <v>PE</v>
      </c>
      <c r="D27" s="19">
        <f>_xlfn.LET(_xlpm.L,IFERROR(_xlfn.XLOOKUP(A27,'PE names final'!A:A,'PE names final'!C:C),_xlfn.XLOOKUP(A27,'PE porfolio names final'!A:A,'PE porfolio names final'!C:C,"")),IF(_xlpm.L=0,"",_xlpm.L))</f>
        <v>46055</v>
      </c>
      <c r="E27" s="19" t="str">
        <f>_xlfn.LET(_xlpm.d,IFERROR(_xlfn.XLOOKUP(A27,'PE names final'!A:A,'PE names final'!D:D),_xlfn.XLOOKUP(A27,'PE porfolio names final'!A:A,'PE porfolio names final'!D:D,"")),IF(_xlpm.d=0,"",IF(_xlpm.d&lt;D27,"Error",_xlpm.d)))</f>
        <v>Got response</v>
      </c>
      <c r="F27" s="19" t="str">
        <f t="shared" si="0"/>
        <v/>
      </c>
      <c r="G27" s="19" t="str">
        <f t="shared" ref="G27:I46" si="6">IF(ISNUMBER($E27),F27+14,"")</f>
        <v/>
      </c>
      <c r="H27" s="19" t="str">
        <f t="shared" si="6"/>
        <v/>
      </c>
      <c r="I27" s="19" t="str">
        <f t="shared" si="6"/>
        <v/>
      </c>
      <c r="J27" s="27" t="str">
        <f t="shared" ca="1" si="5"/>
        <v/>
      </c>
      <c r="K27" s="18" t="str">
        <f t="shared" ca="1" si="2"/>
        <v/>
      </c>
      <c r="L27" s="18" t="str">
        <f t="shared" ca="1" si="3"/>
        <v/>
      </c>
      <c r="M27" s="28" t="str">
        <f t="shared" ca="1" si="4"/>
        <v/>
      </c>
    </row>
    <row r="28" spans="1:13" x14ac:dyDescent="0.3">
      <c r="A28" s="27" t="s">
        <v>149</v>
      </c>
      <c r="B28" s="18" t="str">
        <f>IF(COUNTIF('PE names final'!A:A, A28)+COUNTIF('PE porfolio names final'!A:A,A28)=1, "Yes", "Error")</f>
        <v>Yes</v>
      </c>
      <c r="C28" s="18" t="str" cm="1">
        <f t="array" ref="C28">_xlfn.IFS(AND(COUNTIF('PE names final'!A:A,A28)&gt;0,COUNTIF('PE porfolio names final'!A:A,A28)&gt;0),"PE &amp; Portfolio",COUNTIF('PE names final'!A:A,A28)&gt;0,"PE",COUNTIF('PE porfolio names final'!A:A,A28)&gt;0,"Portfolio",TRUE,"")</f>
        <v>PE</v>
      </c>
      <c r="D28" s="19">
        <f>_xlfn.LET(_xlpm.L,IFERROR(_xlfn.XLOOKUP(A28,'PE names final'!A:A,'PE names final'!C:C),_xlfn.XLOOKUP(A28,'PE porfolio names final'!A:A,'PE porfolio names final'!C:C,"")),IF(_xlpm.L=0,"",_xlpm.L))</f>
        <v>46034</v>
      </c>
      <c r="E28" s="19">
        <f>_xlfn.LET(_xlpm.d,IFERROR(_xlfn.XLOOKUP(A28,'PE names final'!A:A,'PE names final'!D:D),_xlfn.XLOOKUP(A28,'PE porfolio names final'!A:A,'PE porfolio names final'!D:D,"")),IF(_xlpm.d=0,"",IF(_xlpm.d&lt;D28,"Error",_xlpm.d)))</f>
        <v>46091</v>
      </c>
      <c r="F28" s="19">
        <f t="shared" si="0"/>
        <v>46048</v>
      </c>
      <c r="G28" s="19">
        <f t="shared" si="6"/>
        <v>46062</v>
      </c>
      <c r="H28" s="19">
        <f t="shared" si="6"/>
        <v>46076</v>
      </c>
      <c r="I28" s="19">
        <f t="shared" si="6"/>
        <v>46090</v>
      </c>
      <c r="J28" s="27" t="str">
        <f t="shared" ca="1" si="5"/>
        <v>Done</v>
      </c>
      <c r="K28" s="18" t="str">
        <f t="shared" ca="1" si="2"/>
        <v>Done</v>
      </c>
      <c r="L28" s="18" t="str">
        <f t="shared" ca="1" si="3"/>
        <v>Done</v>
      </c>
      <c r="M28" s="28" t="str">
        <f t="shared" ca="1" si="4"/>
        <v>Done</v>
      </c>
    </row>
    <row r="29" spans="1:13" x14ac:dyDescent="0.3">
      <c r="A29" s="27" t="s">
        <v>154</v>
      </c>
      <c r="B29" s="18" t="str">
        <f>IF(COUNTIF('PE names final'!A:A, A29)+COUNTIF('PE porfolio names final'!A:A,A29)=1, "Yes", "Error")</f>
        <v>Yes</v>
      </c>
      <c r="C29" s="18" t="str" cm="1">
        <f t="array" ref="C29">_xlfn.IFS(AND(COUNTIF('PE names final'!A:A,A29)&gt;0,COUNTIF('PE porfolio names final'!A:A,A29)&gt;0),"PE &amp; Portfolio",COUNTIF('PE names final'!A:A,A29)&gt;0,"PE",COUNTIF('PE porfolio names final'!A:A,A29)&gt;0,"Portfolio",TRUE,"")</f>
        <v>PE</v>
      </c>
      <c r="D29" s="19">
        <f>_xlfn.LET(_xlpm.L,IFERROR(_xlfn.XLOOKUP(A29,'PE names final'!A:A,'PE names final'!C:C),_xlfn.XLOOKUP(A29,'PE porfolio names final'!A:A,'PE porfolio names final'!C:C,"")),IF(_xlpm.L=0,"",_xlpm.L))</f>
        <v>46034</v>
      </c>
      <c r="E29" s="19" t="str">
        <f>_xlfn.LET(_xlpm.d,IFERROR(_xlfn.XLOOKUP(A29,'PE names final'!A:A,'PE names final'!D:D),_xlfn.XLOOKUP(A29,'PE porfolio names final'!A:A,'PE porfolio names final'!D:D,"")),IF(_xlpm.d=0,"",IF(_xlpm.d&lt;D29,"Error",_xlpm.d)))</f>
        <v>Got response</v>
      </c>
      <c r="F29" s="19" t="str">
        <f t="shared" si="0"/>
        <v/>
      </c>
      <c r="G29" s="19" t="str">
        <f t="shared" si="6"/>
        <v/>
      </c>
      <c r="H29" s="19" t="str">
        <f t="shared" si="6"/>
        <v/>
      </c>
      <c r="I29" s="19" t="str">
        <f t="shared" si="6"/>
        <v/>
      </c>
      <c r="J29" s="27" t="str">
        <f t="shared" ca="1" si="5"/>
        <v/>
      </c>
      <c r="K29" s="18" t="str">
        <f t="shared" ca="1" si="2"/>
        <v/>
      </c>
      <c r="L29" s="18" t="str">
        <f t="shared" ca="1" si="3"/>
        <v/>
      </c>
      <c r="M29" s="28" t="str">
        <f t="shared" ca="1" si="4"/>
        <v/>
      </c>
    </row>
    <row r="30" spans="1:13" x14ac:dyDescent="0.3">
      <c r="A30" s="27" t="s">
        <v>159</v>
      </c>
      <c r="B30" s="18" t="str">
        <f>IF(COUNTIF('PE names final'!A:A, A30)+COUNTIF('PE porfolio names final'!A:A,A30)=1, "Yes", "Error")</f>
        <v>Yes</v>
      </c>
      <c r="C30" s="18" t="str" cm="1">
        <f t="array" ref="C30">_xlfn.IFS(AND(COUNTIF('PE names final'!A:A,A30)&gt;0,COUNTIF('PE porfolio names final'!A:A,A30)&gt;0),"PE &amp; Portfolio",COUNTIF('PE names final'!A:A,A30)&gt;0,"PE",COUNTIF('PE porfolio names final'!A:A,A30)&gt;0,"Portfolio",TRUE,"")</f>
        <v>PE</v>
      </c>
      <c r="D30" s="19">
        <f>_xlfn.LET(_xlpm.L,IFERROR(_xlfn.XLOOKUP(A30,'PE names final'!A:A,'PE names final'!C:C),_xlfn.XLOOKUP(A30,'PE porfolio names final'!A:A,'PE porfolio names final'!C:C,"")),IF(_xlpm.L=0,"",_xlpm.L))</f>
        <v>46034</v>
      </c>
      <c r="E30" s="19">
        <f>_xlfn.LET(_xlpm.d,IFERROR(_xlfn.XLOOKUP(A30,'PE names final'!A:A,'PE names final'!D:D),_xlfn.XLOOKUP(A30,'PE porfolio names final'!A:A,'PE porfolio names final'!D:D,"")),IF(_xlpm.d=0,"",IF(_xlpm.d&lt;D30,"Error",_xlpm.d)))</f>
        <v>46091</v>
      </c>
      <c r="F30" s="19">
        <f t="shared" si="0"/>
        <v>46048</v>
      </c>
      <c r="G30" s="19">
        <f t="shared" si="6"/>
        <v>46062</v>
      </c>
      <c r="H30" s="19">
        <f t="shared" si="6"/>
        <v>46076</v>
      </c>
      <c r="I30" s="19">
        <f t="shared" si="6"/>
        <v>46090</v>
      </c>
      <c r="J30" s="27" t="str">
        <f t="shared" ca="1" si="5"/>
        <v>Done</v>
      </c>
      <c r="K30" s="18" t="str">
        <f t="shared" ca="1" si="2"/>
        <v>Done</v>
      </c>
      <c r="L30" s="18" t="str">
        <f t="shared" ca="1" si="3"/>
        <v>Done</v>
      </c>
      <c r="M30" s="28" t="str">
        <f t="shared" ca="1" si="4"/>
        <v>Done</v>
      </c>
    </row>
    <row r="31" spans="1:13" x14ac:dyDescent="0.3">
      <c r="A31" s="27" t="s">
        <v>165</v>
      </c>
      <c r="B31" s="18" t="str">
        <f>IF(COUNTIF('PE names final'!A:A, A31)+COUNTIF('PE porfolio names final'!A:A,A31)=1, "Yes", "Error")</f>
        <v>Yes</v>
      </c>
      <c r="C31" s="18" t="str" cm="1">
        <f t="array" ref="C31">_xlfn.IFS(AND(COUNTIF('PE names final'!A:A,A31)&gt;0,COUNTIF('PE porfolio names final'!A:A,A31)&gt;0),"PE &amp; Portfolio",COUNTIF('PE names final'!A:A,A31)&gt;0,"PE",COUNTIF('PE porfolio names final'!A:A,A31)&gt;0,"Portfolio",TRUE,"")</f>
        <v>PE</v>
      </c>
      <c r="D31" s="19">
        <f>_xlfn.LET(_xlpm.L,IFERROR(_xlfn.XLOOKUP(A31,'PE names final'!A:A,'PE names final'!C:C),_xlfn.XLOOKUP(A31,'PE porfolio names final'!A:A,'PE porfolio names final'!C:C,"")),IF(_xlpm.L=0,"",_xlpm.L))</f>
        <v>46034</v>
      </c>
      <c r="E31" s="19" t="str">
        <f>_xlfn.LET(_xlpm.d,IFERROR(_xlfn.XLOOKUP(A31,'PE names final'!A:A,'PE names final'!D:D),_xlfn.XLOOKUP(A31,'PE porfolio names final'!A:A,'PE porfolio names final'!D:D,"")),IF(_xlpm.d=0,"",IF(_xlpm.d&lt;D31,"Error",_xlpm.d)))</f>
        <v>Got response</v>
      </c>
      <c r="F31" s="19" t="str">
        <f t="shared" si="0"/>
        <v/>
      </c>
      <c r="G31" s="19" t="str">
        <f t="shared" si="6"/>
        <v/>
      </c>
      <c r="H31" s="19" t="str">
        <f t="shared" si="6"/>
        <v/>
      </c>
      <c r="I31" s="19" t="str">
        <f t="shared" si="6"/>
        <v/>
      </c>
      <c r="J31" s="27" t="str">
        <f t="shared" ca="1" si="5"/>
        <v/>
      </c>
      <c r="K31" s="18" t="str">
        <f t="shared" ca="1" si="2"/>
        <v/>
      </c>
      <c r="L31" s="18" t="str">
        <f t="shared" ca="1" si="3"/>
        <v/>
      </c>
      <c r="M31" s="28" t="str">
        <f t="shared" ca="1" si="4"/>
        <v/>
      </c>
    </row>
    <row r="32" spans="1:13" x14ac:dyDescent="0.3">
      <c r="A32" s="27" t="s">
        <v>174</v>
      </c>
      <c r="B32" s="18" t="str">
        <f>IF(COUNTIF('PE names final'!A:A, A32)+COUNTIF('PE porfolio names final'!A:A,A32)=1, "Yes", "Error")</f>
        <v>Yes</v>
      </c>
      <c r="C32" s="18" t="str" cm="1">
        <f t="array" ref="C32">_xlfn.IFS(AND(COUNTIF('PE names final'!A:A,A32)&gt;0,COUNTIF('PE porfolio names final'!A:A,A32)&gt;0),"PE &amp; Portfolio",COUNTIF('PE names final'!A:A,A32)&gt;0,"PE",COUNTIF('PE porfolio names final'!A:A,A32)&gt;0,"Portfolio",TRUE,"")</f>
        <v>PE</v>
      </c>
      <c r="D32" s="19">
        <f>_xlfn.LET(_xlpm.L,IFERROR(_xlfn.XLOOKUP(A32,'PE names final'!A:A,'PE names final'!C:C),_xlfn.XLOOKUP(A32,'PE porfolio names final'!A:A,'PE porfolio names final'!C:C,"")),IF(_xlpm.L=0,"",_xlpm.L))</f>
        <v>46055</v>
      </c>
      <c r="E32" s="19">
        <f>_xlfn.LET(_xlpm.d,IFERROR(_xlfn.XLOOKUP(A32,'PE names final'!A:A,'PE names final'!D:D),_xlfn.XLOOKUP(A32,'PE porfolio names final'!A:A,'PE porfolio names final'!D:D,"")),IF(_xlpm.d=0,"",IF(_xlpm.d&lt;D32,"Error",_xlpm.d)))</f>
        <v>46111</v>
      </c>
      <c r="F32" s="19">
        <f t="shared" si="0"/>
        <v>46069</v>
      </c>
      <c r="G32" s="19">
        <f t="shared" si="6"/>
        <v>46083</v>
      </c>
      <c r="H32" s="19">
        <f t="shared" si="6"/>
        <v>46097</v>
      </c>
      <c r="I32" s="19">
        <f t="shared" si="6"/>
        <v>46111</v>
      </c>
      <c r="J32" s="27" t="str">
        <f t="shared" ca="1" si="5"/>
        <v>Done</v>
      </c>
      <c r="K32" s="18" t="str">
        <f t="shared" ca="1" si="2"/>
        <v>Done</v>
      </c>
      <c r="L32" s="18" t="str">
        <f t="shared" ca="1" si="3"/>
        <v>Done</v>
      </c>
      <c r="M32" s="28" t="str">
        <f t="shared" ca="1" si="4"/>
        <v>Done</v>
      </c>
    </row>
    <row r="33" spans="1:13" x14ac:dyDescent="0.3">
      <c r="A33" s="27" t="s">
        <v>181</v>
      </c>
      <c r="B33" s="18" t="str">
        <f>IF(COUNTIF('PE names final'!A:A, A33)+COUNTIF('PE porfolio names final'!A:A,A33)=1, "Yes", "Error")</f>
        <v>Yes</v>
      </c>
      <c r="C33" s="18" t="str" cm="1">
        <f t="array" ref="C33">_xlfn.IFS(AND(COUNTIF('PE names final'!A:A,A33)&gt;0,COUNTIF('PE porfolio names final'!A:A,A33)&gt;0),"PE &amp; Portfolio",COUNTIF('PE names final'!A:A,A33)&gt;0,"PE",COUNTIF('PE porfolio names final'!A:A,A33)&gt;0,"Portfolio",TRUE,"")</f>
        <v>PE</v>
      </c>
      <c r="D33" s="19">
        <f>_xlfn.LET(_xlpm.L,IFERROR(_xlfn.XLOOKUP(A33,'PE names final'!A:A,'PE names final'!C:C),_xlfn.XLOOKUP(A33,'PE porfolio names final'!A:A,'PE porfolio names final'!C:C,"")),IF(_xlpm.L=0,"",_xlpm.L))</f>
        <v>46062</v>
      </c>
      <c r="E33" s="19">
        <f>_xlfn.LET(_xlpm.d,IFERROR(_xlfn.XLOOKUP(A33,'PE names final'!A:A,'PE names final'!D:D),_xlfn.XLOOKUP(A33,'PE porfolio names final'!A:A,'PE porfolio names final'!D:D,"")),IF(_xlpm.d=0,"",IF(_xlpm.d&lt;D33,"Error",_xlpm.d)))</f>
        <v>46120</v>
      </c>
      <c r="F33" s="19">
        <f t="shared" si="0"/>
        <v>46076</v>
      </c>
      <c r="G33" s="19">
        <f t="shared" si="6"/>
        <v>46090</v>
      </c>
      <c r="H33" s="19">
        <f t="shared" si="6"/>
        <v>46104</v>
      </c>
      <c r="I33" s="19">
        <f t="shared" si="6"/>
        <v>46118</v>
      </c>
      <c r="J33" s="27" t="str">
        <f t="shared" ca="1" si="5"/>
        <v>Done</v>
      </c>
      <c r="K33" s="18" t="str">
        <f t="shared" ca="1" si="2"/>
        <v>Done</v>
      </c>
      <c r="L33" s="18" t="str">
        <f t="shared" ca="1" si="3"/>
        <v>Done</v>
      </c>
      <c r="M33" s="28" t="str">
        <f t="shared" ca="1" si="4"/>
        <v>Done</v>
      </c>
    </row>
    <row r="34" spans="1:13" x14ac:dyDescent="0.3">
      <c r="A34" s="27" t="s">
        <v>187</v>
      </c>
      <c r="B34" s="18" t="str">
        <f>IF(COUNTIF('PE names final'!A:A, A34)+COUNTIF('PE porfolio names final'!A:A,A34)=1, "Yes", "Error")</f>
        <v>Yes</v>
      </c>
      <c r="C34" s="18" t="str" cm="1">
        <f t="array" ref="C34">_xlfn.IFS(AND(COUNTIF('PE names final'!A:A,A34)&gt;0,COUNTIF('PE porfolio names final'!A:A,A34)&gt;0),"PE &amp; Portfolio",COUNTIF('PE names final'!A:A,A34)&gt;0,"PE",COUNTIF('PE porfolio names final'!A:A,A34)&gt;0,"Portfolio",TRUE,"")</f>
        <v>PE</v>
      </c>
      <c r="D34" s="19">
        <f>_xlfn.LET(_xlpm.L,IFERROR(_xlfn.XLOOKUP(A34,'PE names final'!A:A,'PE names final'!C:C),_xlfn.XLOOKUP(A34,'PE porfolio names final'!A:A,'PE porfolio names final'!C:C,"")),IF(_xlpm.L=0,"",_xlpm.L))</f>
        <v>46034</v>
      </c>
      <c r="E34" s="19" t="str">
        <f>_xlfn.LET(_xlpm.d,IFERROR(_xlfn.XLOOKUP(A34,'PE names final'!A:A,'PE names final'!D:D),_xlfn.XLOOKUP(A34,'PE porfolio names final'!A:A,'PE porfolio names final'!D:D,"")),IF(_xlpm.d=0,"",IF(_xlpm.d&lt;D34,"Error",_xlpm.d)))</f>
        <v>Got response</v>
      </c>
      <c r="F34" s="19" t="str">
        <f t="shared" si="0"/>
        <v/>
      </c>
      <c r="G34" s="19" t="str">
        <f t="shared" si="6"/>
        <v/>
      </c>
      <c r="H34" s="19" t="str">
        <f t="shared" si="6"/>
        <v/>
      </c>
      <c r="I34" s="19" t="str">
        <f t="shared" si="6"/>
        <v/>
      </c>
      <c r="J34" s="27" t="str">
        <f t="shared" ca="1" si="5"/>
        <v/>
      </c>
      <c r="K34" s="18" t="str">
        <f t="shared" ca="1" si="2"/>
        <v/>
      </c>
      <c r="L34" s="18" t="str">
        <f t="shared" ca="1" si="3"/>
        <v/>
      </c>
      <c r="M34" s="28" t="str">
        <f t="shared" ca="1" si="4"/>
        <v/>
      </c>
    </row>
    <row r="35" spans="1:13" x14ac:dyDescent="0.3">
      <c r="A35" s="27" t="s">
        <v>193</v>
      </c>
      <c r="B35" s="18" t="str">
        <f>IF(COUNTIF('PE names final'!A:A, A35)+COUNTIF('PE porfolio names final'!A:A,A35)=1, "Yes", "Error")</f>
        <v>Yes</v>
      </c>
      <c r="C35" s="18" t="str" cm="1">
        <f t="array" ref="C35">_xlfn.IFS(AND(COUNTIF('PE names final'!A:A,A35)&gt;0,COUNTIF('PE porfolio names final'!A:A,A35)&gt;0),"PE &amp; Portfolio",COUNTIF('PE names final'!A:A,A35)&gt;0,"PE",COUNTIF('PE porfolio names final'!A:A,A35)&gt;0,"Portfolio",TRUE,"")</f>
        <v>PE</v>
      </c>
      <c r="D35" s="19">
        <f>_xlfn.LET(_xlpm.L,IFERROR(_xlfn.XLOOKUP(A35,'PE names final'!A:A,'PE names final'!C:C),_xlfn.XLOOKUP(A35,'PE porfolio names final'!A:A,'PE porfolio names final'!C:C,"")),IF(_xlpm.L=0,"",_xlpm.L))</f>
        <v>46062</v>
      </c>
      <c r="E35" s="19" t="str">
        <f>_xlfn.LET(_xlpm.d,IFERROR(_xlfn.XLOOKUP(A35,'PE names final'!A:A,'PE names final'!D:D),_xlfn.XLOOKUP(A35,'PE porfolio names final'!A:A,'PE porfolio names final'!D:D,"")),IF(_xlpm.d=0,"",IF(_xlpm.d&lt;D35,"Error",_xlpm.d)))</f>
        <v>Got response</v>
      </c>
      <c r="F35" s="19" t="str">
        <f t="shared" si="0"/>
        <v/>
      </c>
      <c r="G35" s="19" t="str">
        <f t="shared" si="6"/>
        <v/>
      </c>
      <c r="H35" s="19" t="str">
        <f t="shared" si="6"/>
        <v/>
      </c>
      <c r="I35" s="19" t="str">
        <f t="shared" si="6"/>
        <v/>
      </c>
      <c r="J35" s="27" t="str">
        <f t="shared" ca="1" si="5"/>
        <v/>
      </c>
      <c r="K35" s="18" t="str">
        <f t="shared" ca="1" si="2"/>
        <v/>
      </c>
      <c r="L35" s="18" t="str">
        <f t="shared" ca="1" si="3"/>
        <v/>
      </c>
      <c r="M35" s="28" t="str">
        <f t="shared" ca="1" si="4"/>
        <v/>
      </c>
    </row>
    <row r="36" spans="1:13" x14ac:dyDescent="0.3">
      <c r="A36" s="27" t="s">
        <v>200</v>
      </c>
      <c r="B36" s="18" t="str">
        <f>IF(COUNTIF('PE names final'!A:A, A36)+COUNTIF('PE porfolio names final'!A:A,A36)=1, "Yes", "Error")</f>
        <v>Yes</v>
      </c>
      <c r="C36" s="18" t="str" cm="1">
        <f t="array" ref="C36">_xlfn.IFS(AND(COUNTIF('PE names final'!A:A,A36)&gt;0,COUNTIF('PE porfolio names final'!A:A,A36)&gt;0),"PE &amp; Portfolio",COUNTIF('PE names final'!A:A,A36)&gt;0,"PE",COUNTIF('PE porfolio names final'!A:A,A36)&gt;0,"Portfolio",TRUE,"")</f>
        <v>PE</v>
      </c>
      <c r="D36" s="19">
        <f>_xlfn.LET(_xlpm.L,IFERROR(_xlfn.XLOOKUP(A36,'PE names final'!A:A,'PE names final'!C:C),_xlfn.XLOOKUP(A36,'PE porfolio names final'!A:A,'PE porfolio names final'!C:C,"")),IF(_xlpm.L=0,"",_xlpm.L))</f>
        <v>46034</v>
      </c>
      <c r="E36" s="19">
        <f>_xlfn.LET(_xlpm.d,IFERROR(_xlfn.XLOOKUP(A36,'PE names final'!A:A,'PE names final'!D:D),_xlfn.XLOOKUP(A36,'PE porfolio names final'!A:A,'PE porfolio names final'!D:D,"")),IF(_xlpm.d=0,"",IF(_xlpm.d&lt;D36,"Error",_xlpm.d)))</f>
        <v>46091</v>
      </c>
      <c r="F36" s="19">
        <f t="shared" si="0"/>
        <v>46048</v>
      </c>
      <c r="G36" s="19">
        <f t="shared" si="6"/>
        <v>46062</v>
      </c>
      <c r="H36" s="19">
        <f t="shared" si="6"/>
        <v>46076</v>
      </c>
      <c r="I36" s="19">
        <f t="shared" si="6"/>
        <v>46090</v>
      </c>
      <c r="J36" s="27" t="str">
        <f t="shared" ca="1" si="5"/>
        <v>Done</v>
      </c>
      <c r="K36" s="18" t="str">
        <f t="shared" ca="1" si="2"/>
        <v>Done</v>
      </c>
      <c r="L36" s="18" t="str">
        <f t="shared" ca="1" si="3"/>
        <v>Done</v>
      </c>
      <c r="M36" s="28" t="str">
        <f t="shared" ca="1" si="4"/>
        <v>Done</v>
      </c>
    </row>
    <row r="37" spans="1:13" x14ac:dyDescent="0.3">
      <c r="A37" s="27" t="s">
        <v>206</v>
      </c>
      <c r="B37" s="18" t="str">
        <f>IF(COUNTIF('PE names final'!A:A, A37)+COUNTIF('PE porfolio names final'!A:A,A37)=1, "Yes", "Error")</f>
        <v>Yes</v>
      </c>
      <c r="C37" s="18" t="str" cm="1">
        <f t="array" ref="C37">_xlfn.IFS(AND(COUNTIF('PE names final'!A:A,A37)&gt;0,COUNTIF('PE porfolio names final'!A:A,A37)&gt;0),"PE &amp; Portfolio",COUNTIF('PE names final'!A:A,A37)&gt;0,"PE",COUNTIF('PE porfolio names final'!A:A,A37)&gt;0,"Portfolio",TRUE,"")</f>
        <v>PE</v>
      </c>
      <c r="D37" s="19">
        <f>_xlfn.LET(_xlpm.L,IFERROR(_xlfn.XLOOKUP(A37,'PE names final'!A:A,'PE names final'!C:C),_xlfn.XLOOKUP(A37,'PE porfolio names final'!A:A,'PE porfolio names final'!C:C,"")),IF(_xlpm.L=0,"",_xlpm.L))</f>
        <v>46062</v>
      </c>
      <c r="E37" s="19">
        <f>_xlfn.LET(_xlpm.d,IFERROR(_xlfn.XLOOKUP(A37,'PE names final'!A:A,'PE names final'!D:D),_xlfn.XLOOKUP(A37,'PE porfolio names final'!A:A,'PE porfolio names final'!D:D,"")),IF(_xlpm.d=0,"",IF(_xlpm.d&lt;D37,"Error",_xlpm.d)))</f>
        <v>46120</v>
      </c>
      <c r="F37" s="19">
        <f t="shared" si="0"/>
        <v>46076</v>
      </c>
      <c r="G37" s="19">
        <f t="shared" si="6"/>
        <v>46090</v>
      </c>
      <c r="H37" s="19">
        <f t="shared" si="6"/>
        <v>46104</v>
      </c>
      <c r="I37" s="19">
        <f t="shared" si="6"/>
        <v>46118</v>
      </c>
      <c r="J37" s="27" t="str">
        <f t="shared" ca="1" si="5"/>
        <v>Done</v>
      </c>
      <c r="K37" s="18" t="str">
        <f t="shared" ca="1" si="2"/>
        <v>Done</v>
      </c>
      <c r="L37" s="18" t="str">
        <f t="shared" ca="1" si="3"/>
        <v>Done</v>
      </c>
      <c r="M37" s="28" t="str">
        <f t="shared" ca="1" si="4"/>
        <v>Done</v>
      </c>
    </row>
    <row r="38" spans="1:13" x14ac:dyDescent="0.3">
      <c r="A38" s="27" t="s">
        <v>211</v>
      </c>
      <c r="B38" s="18" t="str">
        <f>IF(COUNTIF('PE names final'!A:A, A38)+COUNTIF('PE porfolio names final'!A:A,A38)=1, "Yes", "Error")</f>
        <v>Yes</v>
      </c>
      <c r="C38" s="18" t="str" cm="1">
        <f t="array" ref="C38">_xlfn.IFS(AND(COUNTIF('PE names final'!A:A,A38)&gt;0,COUNTIF('PE porfolio names final'!A:A,A38)&gt;0),"PE &amp; Portfolio",COUNTIF('PE names final'!A:A,A38)&gt;0,"PE",COUNTIF('PE porfolio names final'!A:A,A38)&gt;0,"Portfolio",TRUE,"")</f>
        <v>PE</v>
      </c>
      <c r="D38" s="19">
        <f>_xlfn.LET(_xlpm.L,IFERROR(_xlfn.XLOOKUP(A38,'PE names final'!A:A,'PE names final'!C:C),_xlfn.XLOOKUP(A38,'PE porfolio names final'!A:A,'PE porfolio names final'!C:C,"")),IF(_xlpm.L=0,"",_xlpm.L))</f>
        <v>46035</v>
      </c>
      <c r="E38" s="19">
        <f>_xlfn.LET(_xlpm.d,IFERROR(_xlfn.XLOOKUP(A38,'PE names final'!A:A,'PE names final'!D:D),_xlfn.XLOOKUP(A38,'PE porfolio names final'!A:A,'PE porfolio names final'!D:D,"")),IF(_xlpm.d=0,"",IF(_xlpm.d&lt;D38,"Error",_xlpm.d)))</f>
        <v>46091</v>
      </c>
      <c r="F38" s="19">
        <f t="shared" si="0"/>
        <v>46049</v>
      </c>
      <c r="G38" s="19">
        <f t="shared" si="6"/>
        <v>46063</v>
      </c>
      <c r="H38" s="19">
        <f t="shared" si="6"/>
        <v>46077</v>
      </c>
      <c r="I38" s="19">
        <f t="shared" si="6"/>
        <v>46091</v>
      </c>
      <c r="J38" s="27" t="str">
        <f t="shared" ca="1" si="5"/>
        <v>Done</v>
      </c>
      <c r="K38" s="18" t="str">
        <f t="shared" ca="1" si="2"/>
        <v>Done</v>
      </c>
      <c r="L38" s="18" t="str">
        <f t="shared" ca="1" si="3"/>
        <v>Done</v>
      </c>
      <c r="M38" s="28" t="str">
        <f t="shared" ca="1" si="4"/>
        <v>Done</v>
      </c>
    </row>
    <row r="39" spans="1:13" x14ac:dyDescent="0.3">
      <c r="A39" s="27" t="s">
        <v>216</v>
      </c>
      <c r="B39" s="18" t="str">
        <f>IF(COUNTIF('PE names final'!A:A, A39)+COUNTIF('PE porfolio names final'!A:A,A39)=1, "Yes", "Error")</f>
        <v>Yes</v>
      </c>
      <c r="C39" s="18" t="str" cm="1">
        <f t="array" ref="C39">_xlfn.IFS(AND(COUNTIF('PE names final'!A:A,A39)&gt;0,COUNTIF('PE porfolio names final'!A:A,A39)&gt;0),"PE &amp; Portfolio",COUNTIF('PE names final'!A:A,A39)&gt;0,"PE",COUNTIF('PE porfolio names final'!A:A,A39)&gt;0,"Portfolio",TRUE,"")</f>
        <v>PE</v>
      </c>
      <c r="D39" s="19">
        <f>_xlfn.LET(_xlpm.L,IFERROR(_xlfn.XLOOKUP(A39,'PE names final'!A:A,'PE names final'!C:C),_xlfn.XLOOKUP(A39,'PE porfolio names final'!A:A,'PE porfolio names final'!C:C,"")),IF(_xlpm.L=0,"",_xlpm.L))</f>
        <v>46035</v>
      </c>
      <c r="E39" s="19" t="str">
        <f>_xlfn.LET(_xlpm.d,IFERROR(_xlfn.XLOOKUP(A39,'PE names final'!A:A,'PE names final'!D:D),_xlfn.XLOOKUP(A39,'PE porfolio names final'!A:A,'PE porfolio names final'!D:D,"")),IF(_xlpm.d=0,"",IF(_xlpm.d&lt;D39,"Error",_xlpm.d)))</f>
        <v>Got response</v>
      </c>
      <c r="F39" s="19" t="str">
        <f t="shared" ref="F39:F70" si="7">IF(ISNUMBER($E39),D39+14,"")</f>
        <v/>
      </c>
      <c r="G39" s="19" t="str">
        <f t="shared" si="6"/>
        <v/>
      </c>
      <c r="H39" s="19" t="str">
        <f t="shared" si="6"/>
        <v/>
      </c>
      <c r="I39" s="19" t="str">
        <f t="shared" si="6"/>
        <v/>
      </c>
      <c r="J39" s="27" t="str">
        <f t="shared" ca="1" si="5"/>
        <v/>
      </c>
      <c r="K39" s="18" t="str">
        <f t="shared" ca="1" si="2"/>
        <v/>
      </c>
      <c r="L39" s="18" t="str">
        <f t="shared" ca="1" si="3"/>
        <v/>
      </c>
      <c r="M39" s="28" t="str">
        <f t="shared" ca="1" si="4"/>
        <v/>
      </c>
    </row>
    <row r="40" spans="1:13" x14ac:dyDescent="0.3">
      <c r="A40" s="27" t="s">
        <v>221</v>
      </c>
      <c r="B40" s="18" t="str">
        <f>IF(COUNTIF('PE names final'!A:A, A40)+COUNTIF('PE porfolio names final'!A:A,A40)=1, "Yes", "Error")</f>
        <v>Yes</v>
      </c>
      <c r="C40" s="18" t="str" cm="1">
        <f t="array" ref="C40">_xlfn.IFS(AND(COUNTIF('PE names final'!A:A,A40)&gt;0,COUNTIF('PE porfolio names final'!A:A,A40)&gt;0),"PE &amp; Portfolio",COUNTIF('PE names final'!A:A,A40)&gt;0,"PE",COUNTIF('PE porfolio names final'!A:A,A40)&gt;0,"Portfolio",TRUE,"")</f>
        <v>PE</v>
      </c>
      <c r="D40" s="19">
        <f>_xlfn.LET(_xlpm.L,IFERROR(_xlfn.XLOOKUP(A40,'PE names final'!A:A,'PE names final'!C:C),_xlfn.XLOOKUP(A40,'PE porfolio names final'!A:A,'PE porfolio names final'!C:C,"")),IF(_xlpm.L=0,"",_xlpm.L))</f>
        <v>46035</v>
      </c>
      <c r="E40" s="19">
        <f>_xlfn.LET(_xlpm.d,IFERROR(_xlfn.XLOOKUP(A40,'PE names final'!A:A,'PE names final'!D:D),_xlfn.XLOOKUP(A40,'PE porfolio names final'!A:A,'PE porfolio names final'!D:D,"")),IF(_xlpm.d=0,"",IF(_xlpm.d&lt;D40,"Error",_xlpm.d)))</f>
        <v>46091</v>
      </c>
      <c r="F40" s="19">
        <f t="shared" si="7"/>
        <v>46049</v>
      </c>
      <c r="G40" s="19">
        <f t="shared" si="6"/>
        <v>46063</v>
      </c>
      <c r="H40" s="19">
        <f t="shared" si="6"/>
        <v>46077</v>
      </c>
      <c r="I40" s="19">
        <f t="shared" si="6"/>
        <v>46091</v>
      </c>
      <c r="J40" s="27" t="str">
        <f t="shared" ca="1" si="5"/>
        <v>Done</v>
      </c>
      <c r="K40" s="18" t="str">
        <f t="shared" ca="1" si="2"/>
        <v>Done</v>
      </c>
      <c r="L40" s="18" t="str">
        <f t="shared" ca="1" si="3"/>
        <v>Done</v>
      </c>
      <c r="M40" s="28" t="str">
        <f t="shared" ca="1" si="4"/>
        <v>Done</v>
      </c>
    </row>
    <row r="41" spans="1:13" x14ac:dyDescent="0.3">
      <c r="A41" s="27" t="s">
        <v>227</v>
      </c>
      <c r="B41" s="18" t="str">
        <f>IF(COUNTIF('PE names final'!A:A, A41)+COUNTIF('PE porfolio names final'!A:A,A41)=1, "Yes", "Error")</f>
        <v>Yes</v>
      </c>
      <c r="C41" s="18" t="str" cm="1">
        <f t="array" ref="C41">_xlfn.IFS(AND(COUNTIF('PE names final'!A:A,A41)&gt;0,COUNTIF('PE porfolio names final'!A:A,A41)&gt;0),"PE &amp; Portfolio",COUNTIF('PE names final'!A:A,A41)&gt;0,"PE",COUNTIF('PE porfolio names final'!A:A,A41)&gt;0,"Portfolio",TRUE,"")</f>
        <v>PE</v>
      </c>
      <c r="D41" s="19">
        <f>_xlfn.LET(_xlpm.L,IFERROR(_xlfn.XLOOKUP(A41,'PE names final'!A:A,'PE names final'!C:C),_xlfn.XLOOKUP(A41,'PE porfolio names final'!A:A,'PE porfolio names final'!C:C,"")),IF(_xlpm.L=0,"",_xlpm.L))</f>
        <v>46035</v>
      </c>
      <c r="E41" s="19">
        <f>_xlfn.LET(_xlpm.d,IFERROR(_xlfn.XLOOKUP(A41,'PE names final'!A:A,'PE names final'!D:D),_xlfn.XLOOKUP(A41,'PE porfolio names final'!A:A,'PE porfolio names final'!D:D,"")),IF(_xlpm.d=0,"",IF(_xlpm.d&lt;D41,"Error",_xlpm.d)))</f>
        <v>46091</v>
      </c>
      <c r="F41" s="19">
        <f t="shared" si="7"/>
        <v>46049</v>
      </c>
      <c r="G41" s="19">
        <f t="shared" si="6"/>
        <v>46063</v>
      </c>
      <c r="H41" s="19">
        <f t="shared" si="6"/>
        <v>46077</v>
      </c>
      <c r="I41" s="19">
        <f t="shared" si="6"/>
        <v>46091</v>
      </c>
      <c r="J41" s="27" t="str">
        <f t="shared" ca="1" si="5"/>
        <v>Done</v>
      </c>
      <c r="K41" s="18" t="str">
        <f t="shared" ca="1" si="2"/>
        <v>Done</v>
      </c>
      <c r="L41" s="18" t="str">
        <f t="shared" ca="1" si="3"/>
        <v>Done</v>
      </c>
      <c r="M41" s="28" t="str">
        <f t="shared" ca="1" si="4"/>
        <v>Done</v>
      </c>
    </row>
    <row r="42" spans="1:13" x14ac:dyDescent="0.3">
      <c r="A42" s="27" t="s">
        <v>233</v>
      </c>
      <c r="B42" s="18" t="str">
        <f>IF(COUNTIF('PE names final'!A:A, A42)+COUNTIF('PE porfolio names final'!A:A,A42)=1, "Yes", "Error")</f>
        <v>Yes</v>
      </c>
      <c r="C42" s="18" t="str" cm="1">
        <f t="array" ref="C42">_xlfn.IFS(AND(COUNTIF('PE names final'!A:A,A42)&gt;0,COUNTIF('PE porfolio names final'!A:A,A42)&gt;0),"PE &amp; Portfolio",COUNTIF('PE names final'!A:A,A42)&gt;0,"PE",COUNTIF('PE porfolio names final'!A:A,A42)&gt;0,"Portfolio",TRUE,"")</f>
        <v>PE</v>
      </c>
      <c r="D42" s="19">
        <f>_xlfn.LET(_xlpm.L,IFERROR(_xlfn.XLOOKUP(A42,'PE names final'!A:A,'PE names final'!C:C),_xlfn.XLOOKUP(A42,'PE porfolio names final'!A:A,'PE porfolio names final'!C:C,"")),IF(_xlpm.L=0,"",_xlpm.L))</f>
        <v>46035</v>
      </c>
      <c r="E42" s="19" t="str">
        <f>_xlfn.LET(_xlpm.d,IFERROR(_xlfn.XLOOKUP(A42,'PE names final'!A:A,'PE names final'!D:D),_xlfn.XLOOKUP(A42,'PE porfolio names final'!A:A,'PE porfolio names final'!D:D,"")),IF(_xlpm.d=0,"",IF(_xlpm.d&lt;D42,"Error",_xlpm.d)))</f>
        <v>Got response</v>
      </c>
      <c r="F42" s="19" t="str">
        <f t="shared" si="7"/>
        <v/>
      </c>
      <c r="G42" s="19" t="str">
        <f t="shared" si="6"/>
        <v/>
      </c>
      <c r="H42" s="19" t="str">
        <f t="shared" si="6"/>
        <v/>
      </c>
      <c r="I42" s="19" t="str">
        <f t="shared" si="6"/>
        <v/>
      </c>
      <c r="J42" s="27" t="str">
        <f t="shared" ca="1" si="5"/>
        <v/>
      </c>
      <c r="K42" s="18" t="str">
        <f t="shared" ca="1" si="2"/>
        <v/>
      </c>
      <c r="L42" s="18" t="str">
        <f t="shared" ca="1" si="3"/>
        <v/>
      </c>
      <c r="M42" s="28" t="str">
        <f t="shared" ca="1" si="4"/>
        <v/>
      </c>
    </row>
    <row r="43" spans="1:13" x14ac:dyDescent="0.3">
      <c r="A43" s="27" t="s">
        <v>238</v>
      </c>
      <c r="B43" s="18" t="str">
        <f>IF(COUNTIF('PE names final'!A:A, A43)+COUNTIF('PE porfolio names final'!A:A,A43)=1, "Yes", "Error")</f>
        <v>Yes</v>
      </c>
      <c r="C43" s="18" t="str" cm="1">
        <f t="array" ref="C43">_xlfn.IFS(AND(COUNTIF('PE names final'!A:A,A43)&gt;0,COUNTIF('PE porfolio names final'!A:A,A43)&gt;0),"PE &amp; Portfolio",COUNTIF('PE names final'!A:A,A43)&gt;0,"PE",COUNTIF('PE porfolio names final'!A:A,A43)&gt;0,"Portfolio",TRUE,"")</f>
        <v>PE</v>
      </c>
      <c r="D43" s="19">
        <f>_xlfn.LET(_xlpm.L,IFERROR(_xlfn.XLOOKUP(A43,'PE names final'!A:A,'PE names final'!C:C),_xlfn.XLOOKUP(A43,'PE porfolio names final'!A:A,'PE porfolio names final'!C:C,"")),IF(_xlpm.L=0,"",_xlpm.L))</f>
        <v>46058</v>
      </c>
      <c r="E43" s="19" t="str">
        <f>_xlfn.LET(_xlpm.d,IFERROR(_xlfn.XLOOKUP(A43,'PE names final'!A:A,'PE names final'!D:D),_xlfn.XLOOKUP(A43,'PE porfolio names final'!A:A,'PE porfolio names final'!D:D,"")),IF(_xlpm.d=0,"",IF(_xlpm.d&lt;D43,"Error",_xlpm.d)))</f>
        <v>Got response</v>
      </c>
      <c r="F43" s="19" t="str">
        <f t="shared" si="7"/>
        <v/>
      </c>
      <c r="G43" s="19" t="str">
        <f t="shared" si="6"/>
        <v/>
      </c>
      <c r="H43" s="19" t="str">
        <f t="shared" si="6"/>
        <v/>
      </c>
      <c r="I43" s="19" t="str">
        <f t="shared" si="6"/>
        <v/>
      </c>
      <c r="J43" s="27" t="str">
        <f t="shared" ca="1" si="5"/>
        <v/>
      </c>
      <c r="K43" s="18" t="str">
        <f t="shared" ca="1" si="2"/>
        <v/>
      </c>
      <c r="L43" s="18" t="str">
        <f t="shared" ca="1" si="3"/>
        <v/>
      </c>
      <c r="M43" s="28" t="str">
        <f t="shared" ca="1" si="4"/>
        <v/>
      </c>
    </row>
    <row r="44" spans="1:13" x14ac:dyDescent="0.3">
      <c r="A44" s="27" t="s">
        <v>245</v>
      </c>
      <c r="B44" s="18" t="str">
        <f>IF(COUNTIF('PE names final'!A:A, A44)+COUNTIF('PE porfolio names final'!A:A,A44)=1, "Yes", "Error")</f>
        <v>Yes</v>
      </c>
      <c r="C44" s="18" t="str" cm="1">
        <f t="array" ref="C44">_xlfn.IFS(AND(COUNTIF('PE names final'!A:A,A44)&gt;0,COUNTIF('PE porfolio names final'!A:A,A44)&gt;0),"PE &amp; Portfolio",COUNTIF('PE names final'!A:A,A44)&gt;0,"PE",COUNTIF('PE porfolio names final'!A:A,A44)&gt;0,"Portfolio",TRUE,"")</f>
        <v>PE</v>
      </c>
      <c r="D44" s="19">
        <f>_xlfn.LET(_xlpm.L,IFERROR(_xlfn.XLOOKUP(A44,'PE names final'!A:A,'PE names final'!C:C),_xlfn.XLOOKUP(A44,'PE porfolio names final'!A:A,'PE porfolio names final'!C:C,"")),IF(_xlpm.L=0,"",_xlpm.L))</f>
        <v>46035</v>
      </c>
      <c r="E44" s="19">
        <f>_xlfn.LET(_xlpm.d,IFERROR(_xlfn.XLOOKUP(A44,'PE names final'!A:A,'PE names final'!D:D),_xlfn.XLOOKUP(A44,'PE porfolio names final'!A:A,'PE porfolio names final'!D:D,"")),IF(_xlpm.d=0,"",IF(_xlpm.d&lt;D44,"Error",_xlpm.d)))</f>
        <v>46091</v>
      </c>
      <c r="F44" s="19">
        <f t="shared" si="7"/>
        <v>46049</v>
      </c>
      <c r="G44" s="19">
        <f t="shared" si="6"/>
        <v>46063</v>
      </c>
      <c r="H44" s="19">
        <f t="shared" si="6"/>
        <v>46077</v>
      </c>
      <c r="I44" s="19">
        <f t="shared" si="6"/>
        <v>46091</v>
      </c>
      <c r="J44" s="27" t="str">
        <f t="shared" ca="1" si="5"/>
        <v>Done</v>
      </c>
      <c r="K44" s="18" t="str">
        <f t="shared" ca="1" si="2"/>
        <v>Done</v>
      </c>
      <c r="L44" s="18" t="str">
        <f t="shared" ca="1" si="3"/>
        <v>Done</v>
      </c>
      <c r="M44" s="28" t="str">
        <f t="shared" ca="1" si="4"/>
        <v>Done</v>
      </c>
    </row>
    <row r="45" spans="1:13" x14ac:dyDescent="0.3">
      <c r="A45" s="27" t="s">
        <v>250</v>
      </c>
      <c r="B45" s="18" t="str">
        <f>IF(COUNTIF('PE names final'!A:A, A45)+COUNTIF('PE porfolio names final'!A:A,A45)=1, "Yes", "Error")</f>
        <v>Yes</v>
      </c>
      <c r="C45" s="18" t="str" cm="1">
        <f t="array" ref="C45">_xlfn.IFS(AND(COUNTIF('PE names final'!A:A,A45)&gt;0,COUNTIF('PE porfolio names final'!A:A,A45)&gt;0),"PE &amp; Portfolio",COUNTIF('PE names final'!A:A,A45)&gt;0,"PE",COUNTIF('PE porfolio names final'!A:A,A45)&gt;0,"Portfolio",TRUE,"")</f>
        <v>PE</v>
      </c>
      <c r="D45" s="19">
        <f>_xlfn.LET(_xlpm.L,IFERROR(_xlfn.XLOOKUP(A45,'PE names final'!A:A,'PE names final'!C:C),_xlfn.XLOOKUP(A45,'PE porfolio names final'!A:A,'PE porfolio names final'!C:C,"")),IF(_xlpm.L=0,"",_xlpm.L))</f>
        <v>46062</v>
      </c>
      <c r="E45" s="19">
        <f>_xlfn.LET(_xlpm.d,IFERROR(_xlfn.XLOOKUP(A45,'PE names final'!A:A,'PE names final'!D:D),_xlfn.XLOOKUP(A45,'PE porfolio names final'!A:A,'PE porfolio names final'!D:D,"")),IF(_xlpm.d=0,"",IF(_xlpm.d&lt;D45,"Error",_xlpm.d)))</f>
        <v>46120</v>
      </c>
      <c r="F45" s="19">
        <f t="shared" si="7"/>
        <v>46076</v>
      </c>
      <c r="G45" s="19">
        <f t="shared" si="6"/>
        <v>46090</v>
      </c>
      <c r="H45" s="19">
        <f t="shared" si="6"/>
        <v>46104</v>
      </c>
      <c r="I45" s="19">
        <f t="shared" si="6"/>
        <v>46118</v>
      </c>
      <c r="J45" s="27" t="str">
        <f t="shared" ca="1" si="5"/>
        <v>Done</v>
      </c>
      <c r="K45" s="18" t="str">
        <f t="shared" ca="1" si="2"/>
        <v>Done</v>
      </c>
      <c r="L45" s="18" t="str">
        <f t="shared" ca="1" si="3"/>
        <v>Done</v>
      </c>
      <c r="M45" s="28" t="str">
        <f t="shared" ca="1" si="4"/>
        <v>Done</v>
      </c>
    </row>
    <row r="46" spans="1:13" x14ac:dyDescent="0.3">
      <c r="A46" s="27" t="s">
        <v>255</v>
      </c>
      <c r="B46" s="18" t="str">
        <f>IF(COUNTIF('PE names final'!A:A, A46)+COUNTIF('PE porfolio names final'!A:A,A46)=1, "Yes", "Error")</f>
        <v>Yes</v>
      </c>
      <c r="C46" s="18" t="str" cm="1">
        <f t="array" ref="C46">_xlfn.IFS(AND(COUNTIF('PE names final'!A:A,A46)&gt;0,COUNTIF('PE porfolio names final'!A:A,A46)&gt;0),"PE &amp; Portfolio",COUNTIF('PE names final'!A:A,A46)&gt;0,"PE",COUNTIF('PE porfolio names final'!A:A,A46)&gt;0,"Portfolio",TRUE,"")</f>
        <v>PE</v>
      </c>
      <c r="D46" s="19">
        <f>_xlfn.LET(_xlpm.L,IFERROR(_xlfn.XLOOKUP(A46,'PE names final'!A:A,'PE names final'!C:C),_xlfn.XLOOKUP(A46,'PE porfolio names final'!A:A,'PE porfolio names final'!C:C,"")),IF(_xlpm.L=0,"",_xlpm.L))</f>
        <v>46062</v>
      </c>
      <c r="E46" s="19">
        <f>_xlfn.LET(_xlpm.d,IFERROR(_xlfn.XLOOKUP(A46,'PE names final'!A:A,'PE names final'!D:D),_xlfn.XLOOKUP(A46,'PE porfolio names final'!A:A,'PE porfolio names final'!D:D,"")),IF(_xlpm.d=0,"",IF(_xlpm.d&lt;D46,"Error",_xlpm.d)))</f>
        <v>46120</v>
      </c>
      <c r="F46" s="19">
        <f t="shared" si="7"/>
        <v>46076</v>
      </c>
      <c r="G46" s="19">
        <f t="shared" si="6"/>
        <v>46090</v>
      </c>
      <c r="H46" s="19">
        <f t="shared" si="6"/>
        <v>46104</v>
      </c>
      <c r="I46" s="19">
        <f t="shared" si="6"/>
        <v>46118</v>
      </c>
      <c r="J46" s="27" t="str">
        <f t="shared" ca="1" si="5"/>
        <v>Done</v>
      </c>
      <c r="K46" s="18" t="str">
        <f t="shared" ca="1" si="2"/>
        <v>Done</v>
      </c>
      <c r="L46" s="18" t="str">
        <f t="shared" ca="1" si="3"/>
        <v>Done</v>
      </c>
      <c r="M46" s="28" t="str">
        <f t="shared" ca="1" si="4"/>
        <v>Done</v>
      </c>
    </row>
    <row r="47" spans="1:13" x14ac:dyDescent="0.3">
      <c r="A47" s="27" t="s">
        <v>261</v>
      </c>
      <c r="B47" s="18" t="str">
        <f>IF(COUNTIF('PE names final'!A:A, A47)+COUNTIF('PE porfolio names final'!A:A,A47)=1, "Yes", "Error")</f>
        <v>Yes</v>
      </c>
      <c r="C47" s="18" t="str" cm="1">
        <f t="array" ref="C47">_xlfn.IFS(AND(COUNTIF('PE names final'!A:A,A47)&gt;0,COUNTIF('PE porfolio names final'!A:A,A47)&gt;0),"PE &amp; Portfolio",COUNTIF('PE names final'!A:A,A47)&gt;0,"PE",COUNTIF('PE porfolio names final'!A:A,A47)&gt;0,"Portfolio",TRUE,"")</f>
        <v>PE</v>
      </c>
      <c r="D47" s="19">
        <f>_xlfn.LET(_xlpm.L,IFERROR(_xlfn.XLOOKUP(A47,'PE names final'!A:A,'PE names final'!C:C),_xlfn.XLOOKUP(A47,'PE porfolio names final'!A:A,'PE porfolio names final'!C:C,"")),IF(_xlpm.L=0,"",_xlpm.L))</f>
        <v>46062</v>
      </c>
      <c r="E47" s="19">
        <f>_xlfn.LET(_xlpm.d,IFERROR(_xlfn.XLOOKUP(A47,'PE names final'!A:A,'PE names final'!D:D),_xlfn.XLOOKUP(A47,'PE porfolio names final'!A:A,'PE porfolio names final'!D:D,"")),IF(_xlpm.d=0,"",IF(_xlpm.d&lt;D47,"Error",_xlpm.d)))</f>
        <v>46120</v>
      </c>
      <c r="F47" s="19">
        <f t="shared" si="7"/>
        <v>46076</v>
      </c>
      <c r="G47" s="19">
        <f t="shared" ref="G47:I66" si="8">IF(ISNUMBER($E47),F47+14,"")</f>
        <v>46090</v>
      </c>
      <c r="H47" s="19">
        <f t="shared" si="8"/>
        <v>46104</v>
      </c>
      <c r="I47" s="19">
        <f t="shared" si="8"/>
        <v>46118</v>
      </c>
      <c r="J47" s="27" t="str">
        <f t="shared" ca="1" si="5"/>
        <v>Done</v>
      </c>
      <c r="K47" s="18" t="str">
        <f t="shared" ca="1" si="2"/>
        <v>Done</v>
      </c>
      <c r="L47" s="18" t="str">
        <f t="shared" ca="1" si="3"/>
        <v>Done</v>
      </c>
      <c r="M47" s="28" t="str">
        <f t="shared" ca="1" si="4"/>
        <v>Done</v>
      </c>
    </row>
    <row r="48" spans="1:13" x14ac:dyDescent="0.3">
      <c r="A48" s="27" t="s">
        <v>888</v>
      </c>
      <c r="B48" s="18" t="str">
        <f>IF(COUNTIF('PE names final'!A:A, A48)+COUNTIF('PE porfolio names final'!A:A,A48)=1, "Yes", "Error")</f>
        <v>Yes</v>
      </c>
      <c r="C48" s="18" t="str" cm="1">
        <f t="array" ref="C48">_xlfn.IFS(AND(COUNTIF('PE names final'!A:A,A48)&gt;0,COUNTIF('PE porfolio names final'!A:A,A48)&gt;0),"PE &amp; Portfolio",COUNTIF('PE names final'!A:A,A48)&gt;0,"PE",COUNTIF('PE porfolio names final'!A:A,A48)&gt;0,"Portfolio",TRUE,"")</f>
        <v>PE</v>
      </c>
      <c r="D48" s="19">
        <f>_xlfn.LET(_xlpm.L,IFERROR(_xlfn.XLOOKUP(A48,'PE names final'!A:A,'PE names final'!C:C),_xlfn.XLOOKUP(A48,'PE porfolio names final'!A:A,'PE porfolio names final'!C:C,"")),IF(_xlpm.L=0,"",_xlpm.L))</f>
        <v>46062</v>
      </c>
      <c r="E48" s="19" t="str">
        <f>_xlfn.LET(_xlpm.d,IFERROR(_xlfn.XLOOKUP(A48,'PE names final'!A:A,'PE names final'!D:D),_xlfn.XLOOKUP(A48,'PE porfolio names final'!A:A,'PE porfolio names final'!D:D,"")),IF(_xlpm.d=0,"",IF(_xlpm.d&lt;D48,"Error",_xlpm.d)))</f>
        <v>Got response</v>
      </c>
      <c r="F48" s="19" t="str">
        <f t="shared" si="7"/>
        <v/>
      </c>
      <c r="G48" s="19" t="str">
        <f t="shared" si="8"/>
        <v/>
      </c>
      <c r="H48" s="19" t="str">
        <f t="shared" si="8"/>
        <v/>
      </c>
      <c r="I48" s="19" t="str">
        <f t="shared" si="8"/>
        <v/>
      </c>
      <c r="J48" s="27" t="str">
        <f t="shared" ca="1" si="5"/>
        <v/>
      </c>
      <c r="K48" s="18" t="str">
        <f t="shared" ca="1" si="2"/>
        <v/>
      </c>
      <c r="L48" s="18" t="str">
        <f t="shared" ca="1" si="3"/>
        <v/>
      </c>
      <c r="M48" s="28" t="str">
        <f t="shared" ca="1" si="4"/>
        <v/>
      </c>
    </row>
    <row r="49" spans="1:13" x14ac:dyDescent="0.3">
      <c r="A49" s="27" t="s">
        <v>272</v>
      </c>
      <c r="B49" s="18" t="str">
        <f>IF(COUNTIF('PE names final'!A:A, A49)+COUNTIF('PE porfolio names final'!A:A,A49)=1, "Yes", "Error")</f>
        <v>Yes</v>
      </c>
      <c r="C49" s="18" t="str" cm="1">
        <f t="array" ref="C49">_xlfn.IFS(AND(COUNTIF('PE names final'!A:A,A49)&gt;0,COUNTIF('PE porfolio names final'!A:A,A49)&gt;0),"PE &amp; Portfolio",COUNTIF('PE names final'!A:A,A49)&gt;0,"PE",COUNTIF('PE porfolio names final'!A:A,A49)&gt;0,"Portfolio",TRUE,"")</f>
        <v>PE</v>
      </c>
      <c r="D49" s="19">
        <f>_xlfn.LET(_xlpm.L,IFERROR(_xlfn.XLOOKUP(A49,'PE names final'!A:A,'PE names final'!C:C),_xlfn.XLOOKUP(A49,'PE porfolio names final'!A:A,'PE porfolio names final'!C:C,"")),IF(_xlpm.L=0,"",_xlpm.L))</f>
        <v>46062</v>
      </c>
      <c r="E49" s="19" t="str">
        <f>_xlfn.LET(_xlpm.d,IFERROR(_xlfn.XLOOKUP(A49,'PE names final'!A:A,'PE names final'!D:D),_xlfn.XLOOKUP(A49,'PE porfolio names final'!A:A,'PE porfolio names final'!D:D,"")),IF(_xlpm.d=0,"",IF(_xlpm.d&lt;D49,"Error",_xlpm.d)))</f>
        <v>Got response</v>
      </c>
      <c r="F49" s="19" t="str">
        <f t="shared" si="7"/>
        <v/>
      </c>
      <c r="G49" s="19" t="str">
        <f t="shared" si="8"/>
        <v/>
      </c>
      <c r="H49" s="19" t="str">
        <f t="shared" si="8"/>
        <v/>
      </c>
      <c r="I49" s="19" t="str">
        <f t="shared" si="8"/>
        <v/>
      </c>
      <c r="J49" s="27" t="str">
        <f t="shared" ca="1" si="5"/>
        <v/>
      </c>
      <c r="K49" s="18" t="str">
        <f t="shared" ca="1" si="2"/>
        <v/>
      </c>
      <c r="L49" s="18" t="str">
        <f t="shared" ca="1" si="3"/>
        <v/>
      </c>
      <c r="M49" s="28" t="str">
        <f t="shared" ca="1" si="4"/>
        <v/>
      </c>
    </row>
    <row r="50" spans="1:13" x14ac:dyDescent="0.3">
      <c r="A50" s="27" t="s">
        <v>277</v>
      </c>
      <c r="B50" s="18" t="str">
        <f>IF(COUNTIF('PE names final'!A:A, A50)+COUNTIF('PE porfolio names final'!A:A,A50)=1, "Yes", "Error")</f>
        <v>Yes</v>
      </c>
      <c r="C50" s="18" t="str" cm="1">
        <f t="array" ref="C50">_xlfn.IFS(AND(COUNTIF('PE names final'!A:A,A50)&gt;0,COUNTIF('PE porfolio names final'!A:A,A50)&gt;0),"PE &amp; Portfolio",COUNTIF('PE names final'!A:A,A50)&gt;0,"PE",COUNTIF('PE porfolio names final'!A:A,A50)&gt;0,"Portfolio",TRUE,"")</f>
        <v>PE</v>
      </c>
      <c r="D50" s="19">
        <f>_xlfn.LET(_xlpm.L,IFERROR(_xlfn.XLOOKUP(A50,'PE names final'!A:A,'PE names final'!C:C),_xlfn.XLOOKUP(A50,'PE porfolio names final'!A:A,'PE porfolio names final'!C:C,"")),IF(_xlpm.L=0,"",_xlpm.L))</f>
        <v>46062</v>
      </c>
      <c r="E50" s="19">
        <f>_xlfn.LET(_xlpm.d,IFERROR(_xlfn.XLOOKUP(A50,'PE names final'!A:A,'PE names final'!D:D),_xlfn.XLOOKUP(A50,'PE porfolio names final'!A:A,'PE porfolio names final'!D:D,"")),IF(_xlpm.d=0,"",IF(_xlpm.d&lt;D50,"Error",_xlpm.d)))</f>
        <v>46120</v>
      </c>
      <c r="F50" s="19">
        <f t="shared" si="7"/>
        <v>46076</v>
      </c>
      <c r="G50" s="19">
        <f t="shared" si="8"/>
        <v>46090</v>
      </c>
      <c r="H50" s="19">
        <f t="shared" si="8"/>
        <v>46104</v>
      </c>
      <c r="I50" s="19">
        <f t="shared" si="8"/>
        <v>46118</v>
      </c>
      <c r="J50" s="27" t="str">
        <f t="shared" ca="1" si="5"/>
        <v>Done</v>
      </c>
      <c r="K50" s="18" t="str">
        <f t="shared" ca="1" si="2"/>
        <v>Done</v>
      </c>
      <c r="L50" s="18" t="str">
        <f t="shared" ca="1" si="3"/>
        <v>Done</v>
      </c>
      <c r="M50" s="28" t="str">
        <f t="shared" ca="1" si="4"/>
        <v>Done</v>
      </c>
    </row>
    <row r="51" spans="1:13" x14ac:dyDescent="0.3">
      <c r="A51" s="27" t="s">
        <v>282</v>
      </c>
      <c r="B51" s="18" t="str">
        <f>IF(COUNTIF('PE names final'!A:A, A51)+COUNTIF('PE porfolio names final'!A:A,A51)=1, "Yes", "Error")</f>
        <v>Yes</v>
      </c>
      <c r="C51" s="18" t="str" cm="1">
        <f t="array" ref="C51">_xlfn.IFS(AND(COUNTIF('PE names final'!A:A,A51)&gt;0,COUNTIF('PE porfolio names final'!A:A,A51)&gt;0),"PE &amp; Portfolio",COUNTIF('PE names final'!A:A,A51)&gt;0,"PE",COUNTIF('PE porfolio names final'!A:A,A51)&gt;0,"Portfolio",TRUE,"")</f>
        <v>PE</v>
      </c>
      <c r="D51" s="19">
        <f>_xlfn.LET(_xlpm.L,IFERROR(_xlfn.XLOOKUP(A51,'PE names final'!A:A,'PE names final'!C:C),_xlfn.XLOOKUP(A51,'PE porfolio names final'!A:A,'PE porfolio names final'!C:C,"")),IF(_xlpm.L=0,"",_xlpm.L))</f>
        <v>46062</v>
      </c>
      <c r="E51" s="19">
        <f>_xlfn.LET(_xlpm.d,IFERROR(_xlfn.XLOOKUP(A51,'PE names final'!A:A,'PE names final'!D:D),_xlfn.XLOOKUP(A51,'PE porfolio names final'!A:A,'PE porfolio names final'!D:D,"")),IF(_xlpm.d=0,"",IF(_xlpm.d&lt;D51,"Error",_xlpm.d)))</f>
        <v>46120</v>
      </c>
      <c r="F51" s="19">
        <f t="shared" si="7"/>
        <v>46076</v>
      </c>
      <c r="G51" s="19">
        <f t="shared" si="8"/>
        <v>46090</v>
      </c>
      <c r="H51" s="19">
        <f t="shared" si="8"/>
        <v>46104</v>
      </c>
      <c r="I51" s="19">
        <f t="shared" si="8"/>
        <v>46118</v>
      </c>
      <c r="J51" s="27" t="str">
        <f t="shared" ca="1" si="5"/>
        <v>Done</v>
      </c>
      <c r="K51" s="18" t="str">
        <f t="shared" ca="1" si="2"/>
        <v>Done</v>
      </c>
      <c r="L51" s="18" t="str">
        <f t="shared" ca="1" si="3"/>
        <v>Done</v>
      </c>
      <c r="M51" s="28" t="str">
        <f t="shared" ca="1" si="4"/>
        <v>Done</v>
      </c>
    </row>
    <row r="52" spans="1:13" x14ac:dyDescent="0.3">
      <c r="A52" s="27" t="s">
        <v>287</v>
      </c>
      <c r="B52" s="18" t="str">
        <f>IF(COUNTIF('PE names final'!A:A, A52)+COUNTIF('PE porfolio names final'!A:A,A52)=1, "Yes", "Error")</f>
        <v>Yes</v>
      </c>
      <c r="C52" s="18" t="str" cm="1">
        <f t="array" ref="C52">_xlfn.IFS(AND(COUNTIF('PE names final'!A:A,A52)&gt;0,COUNTIF('PE porfolio names final'!A:A,A52)&gt;0),"PE &amp; Portfolio",COUNTIF('PE names final'!A:A,A52)&gt;0,"PE",COUNTIF('PE porfolio names final'!A:A,A52)&gt;0,"Portfolio",TRUE,"")</f>
        <v>PE</v>
      </c>
      <c r="D52" s="19">
        <f>_xlfn.LET(_xlpm.L,IFERROR(_xlfn.XLOOKUP(A52,'PE names final'!A:A,'PE names final'!C:C),_xlfn.XLOOKUP(A52,'PE porfolio names final'!A:A,'PE porfolio names final'!C:C,"")),IF(_xlpm.L=0,"",_xlpm.L))</f>
        <v>46062</v>
      </c>
      <c r="E52" s="19">
        <f>_xlfn.LET(_xlpm.d,IFERROR(_xlfn.XLOOKUP(A52,'PE names final'!A:A,'PE names final'!D:D),_xlfn.XLOOKUP(A52,'PE porfolio names final'!A:A,'PE porfolio names final'!D:D,"")),IF(_xlpm.d=0,"",IF(_xlpm.d&lt;D52,"Error",_xlpm.d)))</f>
        <v>46120</v>
      </c>
      <c r="F52" s="19">
        <f t="shared" si="7"/>
        <v>46076</v>
      </c>
      <c r="G52" s="19">
        <f t="shared" si="8"/>
        <v>46090</v>
      </c>
      <c r="H52" s="19">
        <f t="shared" si="8"/>
        <v>46104</v>
      </c>
      <c r="I52" s="19">
        <f t="shared" si="8"/>
        <v>46118</v>
      </c>
      <c r="J52" s="27" t="str">
        <f t="shared" ca="1" si="5"/>
        <v>Done</v>
      </c>
      <c r="K52" s="18" t="str">
        <f t="shared" ca="1" si="2"/>
        <v>Done</v>
      </c>
      <c r="L52" s="18" t="str">
        <f t="shared" ca="1" si="3"/>
        <v>Done</v>
      </c>
      <c r="M52" s="28" t="str">
        <f t="shared" ca="1" si="4"/>
        <v>Done</v>
      </c>
    </row>
    <row r="53" spans="1:13" x14ac:dyDescent="0.3">
      <c r="A53" s="27" t="s">
        <v>293</v>
      </c>
      <c r="B53" s="18" t="str">
        <f>IF(COUNTIF('PE names final'!A:A, A53)+COUNTIF('PE porfolio names final'!A:A,A53)=1, "Yes", "Error")</f>
        <v>Yes</v>
      </c>
      <c r="C53" s="18" t="str" cm="1">
        <f t="array" ref="C53">_xlfn.IFS(AND(COUNTIF('PE names final'!A:A,A53)&gt;0,COUNTIF('PE porfolio names final'!A:A,A53)&gt;0),"PE &amp; Portfolio",COUNTIF('PE names final'!A:A,A53)&gt;0,"PE",COUNTIF('PE porfolio names final'!A:A,A53)&gt;0,"Portfolio",TRUE,"")</f>
        <v>PE</v>
      </c>
      <c r="D53" s="19">
        <f>_xlfn.LET(_xlpm.L,IFERROR(_xlfn.XLOOKUP(A53,'PE names final'!A:A,'PE names final'!C:C),_xlfn.XLOOKUP(A53,'PE porfolio names final'!A:A,'PE porfolio names final'!C:C,"")),IF(_xlpm.L=0,"",_xlpm.L))</f>
        <v>46035</v>
      </c>
      <c r="E53" s="19">
        <f>_xlfn.LET(_xlpm.d,IFERROR(_xlfn.XLOOKUP(A53,'PE names final'!A:A,'PE names final'!D:D),_xlfn.XLOOKUP(A53,'PE porfolio names final'!A:A,'PE porfolio names final'!D:D,"")),IF(_xlpm.d=0,"",IF(_xlpm.d&lt;D53,"Error",_xlpm.d)))</f>
        <v>46091</v>
      </c>
      <c r="F53" s="19">
        <f t="shared" si="7"/>
        <v>46049</v>
      </c>
      <c r="G53" s="19">
        <f t="shared" si="8"/>
        <v>46063</v>
      </c>
      <c r="H53" s="19">
        <f t="shared" si="8"/>
        <v>46077</v>
      </c>
      <c r="I53" s="19">
        <f t="shared" si="8"/>
        <v>46091</v>
      </c>
      <c r="J53" s="27" t="str">
        <f t="shared" ca="1" si="5"/>
        <v>Done</v>
      </c>
      <c r="K53" s="18" t="str">
        <f t="shared" ca="1" si="2"/>
        <v>Done</v>
      </c>
      <c r="L53" s="18" t="str">
        <f t="shared" ca="1" si="3"/>
        <v>Done</v>
      </c>
      <c r="M53" s="28" t="str">
        <f t="shared" ca="1" si="4"/>
        <v>Done</v>
      </c>
    </row>
    <row r="54" spans="1:13" x14ac:dyDescent="0.3">
      <c r="A54" s="27" t="s">
        <v>299</v>
      </c>
      <c r="B54" s="18" t="str">
        <f>IF(COUNTIF('PE names final'!A:A, A54)+COUNTIF('PE porfolio names final'!A:A,A54)=1, "Yes", "Error")</f>
        <v>Yes</v>
      </c>
      <c r="C54" s="18" t="str" cm="1">
        <f t="array" ref="C54">_xlfn.IFS(AND(COUNTIF('PE names final'!A:A,A54)&gt;0,COUNTIF('PE porfolio names final'!A:A,A54)&gt;0),"PE &amp; Portfolio",COUNTIF('PE names final'!A:A,A54)&gt;0,"PE",COUNTIF('PE porfolio names final'!A:A,A54)&gt;0,"Portfolio",TRUE,"")</f>
        <v>PE</v>
      </c>
      <c r="D54" s="19">
        <f>_xlfn.LET(_xlpm.L,IFERROR(_xlfn.XLOOKUP(A54,'PE names final'!A:A,'PE names final'!C:C),_xlfn.XLOOKUP(A54,'PE porfolio names final'!A:A,'PE porfolio names final'!C:C,"")),IF(_xlpm.L=0,"",_xlpm.L))</f>
        <v>46035</v>
      </c>
      <c r="E54" s="19" t="str">
        <f>_xlfn.LET(_xlpm.d,IFERROR(_xlfn.XLOOKUP(A54,'PE names final'!A:A,'PE names final'!D:D),_xlfn.XLOOKUP(A54,'PE porfolio names final'!A:A,'PE porfolio names final'!D:D,"")),IF(_xlpm.d=0,"",IF(_xlpm.d&lt;D54,"Error",_xlpm.d)))</f>
        <v>Got response</v>
      </c>
      <c r="F54" s="19" t="str">
        <f t="shared" si="7"/>
        <v/>
      </c>
      <c r="G54" s="19" t="str">
        <f t="shared" si="8"/>
        <v/>
      </c>
      <c r="H54" s="19" t="str">
        <f t="shared" si="8"/>
        <v/>
      </c>
      <c r="I54" s="19" t="str">
        <f t="shared" si="8"/>
        <v/>
      </c>
      <c r="J54" s="27" t="str">
        <f t="shared" ca="1" si="5"/>
        <v/>
      </c>
      <c r="K54" s="18" t="str">
        <f t="shared" ca="1" si="2"/>
        <v/>
      </c>
      <c r="L54" s="18" t="str">
        <f t="shared" ca="1" si="3"/>
        <v/>
      </c>
      <c r="M54" s="28" t="str">
        <f t="shared" ca="1" si="4"/>
        <v/>
      </c>
    </row>
    <row r="55" spans="1:13" x14ac:dyDescent="0.3">
      <c r="A55" s="27" t="s">
        <v>304</v>
      </c>
      <c r="B55" s="18" t="str">
        <f>IF(COUNTIF('PE names final'!A:A, A55)+COUNTIF('PE porfolio names final'!A:A,A55)=1, "Yes", "Error")</f>
        <v>Yes</v>
      </c>
      <c r="C55" s="18" t="str" cm="1">
        <f t="array" ref="C55">_xlfn.IFS(AND(COUNTIF('PE names final'!A:A,A55)&gt;0,COUNTIF('PE porfolio names final'!A:A,A55)&gt;0),"PE &amp; Portfolio",COUNTIF('PE names final'!A:A,A55)&gt;0,"PE",COUNTIF('PE porfolio names final'!A:A,A55)&gt;0,"Portfolio",TRUE,"")</f>
        <v>PE</v>
      </c>
      <c r="D55" s="19">
        <f>_xlfn.LET(_xlpm.L,IFERROR(_xlfn.XLOOKUP(A55,'PE names final'!A:A,'PE names final'!C:C),_xlfn.XLOOKUP(A55,'PE porfolio names final'!A:A,'PE porfolio names final'!C:C,"")),IF(_xlpm.L=0,"",_xlpm.L))</f>
        <v>46035</v>
      </c>
      <c r="E55" s="19" t="str">
        <f>_xlfn.LET(_xlpm.d,IFERROR(_xlfn.XLOOKUP(A55,'PE names final'!A:A,'PE names final'!D:D),_xlfn.XLOOKUP(A55,'PE porfolio names final'!A:A,'PE porfolio names final'!D:D,"")),IF(_xlpm.d=0,"",IF(_xlpm.d&lt;D55,"Error",_xlpm.d)))</f>
        <v>Got response</v>
      </c>
      <c r="F55" s="19" t="str">
        <f t="shared" si="7"/>
        <v/>
      </c>
      <c r="G55" s="19" t="str">
        <f t="shared" si="8"/>
        <v/>
      </c>
      <c r="H55" s="19" t="str">
        <f t="shared" si="8"/>
        <v/>
      </c>
      <c r="I55" s="19" t="str">
        <f t="shared" si="8"/>
        <v/>
      </c>
      <c r="J55" s="27" t="str">
        <f t="shared" ca="1" si="5"/>
        <v/>
      </c>
      <c r="K55" s="18" t="str">
        <f t="shared" ca="1" si="2"/>
        <v/>
      </c>
      <c r="L55" s="18" t="str">
        <f t="shared" ca="1" si="3"/>
        <v/>
      </c>
      <c r="M55" s="28" t="str">
        <f t="shared" ca="1" si="4"/>
        <v/>
      </c>
    </row>
    <row r="56" spans="1:13" x14ac:dyDescent="0.3">
      <c r="A56" s="27" t="s">
        <v>309</v>
      </c>
      <c r="B56" s="18" t="str">
        <f>IF(COUNTIF('PE names final'!A:A, A56)+COUNTIF('PE porfolio names final'!A:A,A56)=1, "Yes", "Error")</f>
        <v>Yes</v>
      </c>
      <c r="C56" s="18" t="str" cm="1">
        <f t="array" ref="C56">_xlfn.IFS(AND(COUNTIF('PE names final'!A:A,A56)&gt;0,COUNTIF('PE porfolio names final'!A:A,A56)&gt;0),"PE &amp; Portfolio",COUNTIF('PE names final'!A:A,A56)&gt;0,"PE",COUNTIF('PE porfolio names final'!A:A,A56)&gt;0,"Portfolio",TRUE,"")</f>
        <v>PE</v>
      </c>
      <c r="D56" s="19">
        <f>_xlfn.LET(_xlpm.L,IFERROR(_xlfn.XLOOKUP(A56,'PE names final'!A:A,'PE names final'!C:C),_xlfn.XLOOKUP(A56,'PE porfolio names final'!A:A,'PE porfolio names final'!C:C,"")),IF(_xlpm.L=0,"",_xlpm.L))</f>
        <v>46041</v>
      </c>
      <c r="E56" s="19">
        <f>_xlfn.LET(_xlpm.d,IFERROR(_xlfn.XLOOKUP(A56,'PE names final'!A:A,'PE names final'!D:D),_xlfn.XLOOKUP(A56,'PE porfolio names final'!A:A,'PE porfolio names final'!D:D,"")),IF(_xlpm.d=0,"",IF(_xlpm.d&lt;D56,"Error",_xlpm.d)))</f>
        <v>46097</v>
      </c>
      <c r="F56" s="19">
        <f t="shared" si="7"/>
        <v>46055</v>
      </c>
      <c r="G56" s="19">
        <f t="shared" si="8"/>
        <v>46069</v>
      </c>
      <c r="H56" s="19">
        <f t="shared" si="8"/>
        <v>46083</v>
      </c>
      <c r="I56" s="19">
        <f t="shared" si="8"/>
        <v>46097</v>
      </c>
      <c r="J56" s="27" t="str">
        <f t="shared" ca="1" si="5"/>
        <v>Done</v>
      </c>
      <c r="K56" s="18" t="str">
        <f t="shared" ca="1" si="2"/>
        <v>Done</v>
      </c>
      <c r="L56" s="18" t="str">
        <f t="shared" ca="1" si="3"/>
        <v>Done</v>
      </c>
      <c r="M56" s="28" t="str">
        <f t="shared" ca="1" si="4"/>
        <v>Done</v>
      </c>
    </row>
    <row r="57" spans="1:13" x14ac:dyDescent="0.3">
      <c r="A57" s="27" t="s">
        <v>314</v>
      </c>
      <c r="B57" s="18" t="str">
        <f>IF(COUNTIF('PE names final'!A:A, A57)+COUNTIF('PE porfolio names final'!A:A,A57)=1, "Yes", "Error")</f>
        <v>Yes</v>
      </c>
      <c r="C57" s="18" t="str" cm="1">
        <f t="array" ref="C57">_xlfn.IFS(AND(COUNTIF('PE names final'!A:A,A57)&gt;0,COUNTIF('PE porfolio names final'!A:A,A57)&gt;0),"PE &amp; Portfolio",COUNTIF('PE names final'!A:A,A57)&gt;0,"PE",COUNTIF('PE porfolio names final'!A:A,A57)&gt;0,"Portfolio",TRUE,"")</f>
        <v>PE</v>
      </c>
      <c r="D57" s="19">
        <f>_xlfn.LET(_xlpm.L,IFERROR(_xlfn.XLOOKUP(A57,'PE names final'!A:A,'PE names final'!C:C),_xlfn.XLOOKUP(A57,'PE porfolio names final'!A:A,'PE porfolio names final'!C:C,"")),IF(_xlpm.L=0,"",_xlpm.L))</f>
        <v>46062</v>
      </c>
      <c r="E57" s="19">
        <f>_xlfn.LET(_xlpm.d,IFERROR(_xlfn.XLOOKUP(A57,'PE names final'!A:A,'PE names final'!D:D),_xlfn.XLOOKUP(A57,'PE porfolio names final'!A:A,'PE porfolio names final'!D:D,"")),IF(_xlpm.d=0,"",IF(_xlpm.d&lt;D57,"Error",_xlpm.d)))</f>
        <v>46120</v>
      </c>
      <c r="F57" s="19">
        <f t="shared" si="7"/>
        <v>46076</v>
      </c>
      <c r="G57" s="19">
        <f t="shared" si="8"/>
        <v>46090</v>
      </c>
      <c r="H57" s="19">
        <f t="shared" si="8"/>
        <v>46104</v>
      </c>
      <c r="I57" s="19">
        <f t="shared" si="8"/>
        <v>46118</v>
      </c>
      <c r="J57" s="27" t="str">
        <f t="shared" ca="1" si="5"/>
        <v>Done</v>
      </c>
      <c r="K57" s="18" t="str">
        <f t="shared" ca="1" si="2"/>
        <v>Done</v>
      </c>
      <c r="L57" s="18" t="str">
        <f t="shared" ca="1" si="3"/>
        <v>Done</v>
      </c>
      <c r="M57" s="28" t="str">
        <f t="shared" ca="1" si="4"/>
        <v>Done</v>
      </c>
    </row>
    <row r="58" spans="1:13" x14ac:dyDescent="0.3">
      <c r="A58" s="27" t="s">
        <v>316</v>
      </c>
      <c r="B58" s="18" t="str">
        <f>IF(COUNTIF('PE names final'!A:A, A58)+COUNTIF('PE porfolio names final'!A:A,A58)=1, "Yes", "Error")</f>
        <v>Yes</v>
      </c>
      <c r="C58" s="18" t="str" cm="1">
        <f t="array" ref="C58">_xlfn.IFS(AND(COUNTIF('PE names final'!A:A,A58)&gt;0,COUNTIF('PE porfolio names final'!A:A,A58)&gt;0),"PE &amp; Portfolio",COUNTIF('PE names final'!A:A,A58)&gt;0,"PE",COUNTIF('PE porfolio names final'!A:A,A58)&gt;0,"Portfolio",TRUE,"")</f>
        <v>PE</v>
      </c>
      <c r="D58" s="19">
        <f>_xlfn.LET(_xlpm.L,IFERROR(_xlfn.XLOOKUP(A58,'PE names final'!A:A,'PE names final'!C:C),_xlfn.XLOOKUP(A58,'PE porfolio names final'!A:A,'PE porfolio names final'!C:C,"")),IF(_xlpm.L=0,"",_xlpm.L))</f>
        <v>46041</v>
      </c>
      <c r="E58" s="19">
        <f>_xlfn.LET(_xlpm.d,IFERROR(_xlfn.XLOOKUP(A58,'PE names final'!A:A,'PE names final'!D:D),_xlfn.XLOOKUP(A58,'PE porfolio names final'!A:A,'PE porfolio names final'!D:D,"")),IF(_xlpm.d=0,"",IF(_xlpm.d&lt;D58,"Error",_xlpm.d)))</f>
        <v>46097</v>
      </c>
      <c r="F58" s="19">
        <f t="shared" si="7"/>
        <v>46055</v>
      </c>
      <c r="G58" s="19">
        <f t="shared" si="8"/>
        <v>46069</v>
      </c>
      <c r="H58" s="19">
        <f t="shared" si="8"/>
        <v>46083</v>
      </c>
      <c r="I58" s="19">
        <f t="shared" si="8"/>
        <v>46097</v>
      </c>
      <c r="J58" s="27" t="str">
        <f t="shared" ca="1" si="5"/>
        <v>Done</v>
      </c>
      <c r="K58" s="18" t="str">
        <f t="shared" ca="1" si="2"/>
        <v>Done</v>
      </c>
      <c r="L58" s="18" t="str">
        <f t="shared" ca="1" si="3"/>
        <v>Done</v>
      </c>
      <c r="M58" s="28" t="str">
        <f t="shared" ca="1" si="4"/>
        <v>Done</v>
      </c>
    </row>
    <row r="59" spans="1:13" x14ac:dyDescent="0.3">
      <c r="A59" s="27" t="s">
        <v>322</v>
      </c>
      <c r="B59" s="18" t="str">
        <f>IF(COUNTIF('PE names final'!A:A, A59)+COUNTIF('PE porfolio names final'!A:A,A59)=1, "Yes", "Error")</f>
        <v>Yes</v>
      </c>
      <c r="C59" s="18" t="str" cm="1">
        <f t="array" ref="C59">_xlfn.IFS(AND(COUNTIF('PE names final'!A:A,A59)&gt;0,COUNTIF('PE porfolio names final'!A:A,A59)&gt;0),"PE &amp; Portfolio",COUNTIF('PE names final'!A:A,A59)&gt;0,"PE",COUNTIF('PE porfolio names final'!A:A,A59)&gt;0,"Portfolio",TRUE,"")</f>
        <v>PE</v>
      </c>
      <c r="D59" s="19">
        <f>_xlfn.LET(_xlpm.L,IFERROR(_xlfn.XLOOKUP(A59,'PE names final'!A:A,'PE names final'!C:C),_xlfn.XLOOKUP(A59,'PE porfolio names final'!A:A,'PE porfolio names final'!C:C,"")),IF(_xlpm.L=0,"",_xlpm.L))</f>
        <v>46041</v>
      </c>
      <c r="E59" s="19" t="str">
        <f>_xlfn.LET(_xlpm.d,IFERROR(_xlfn.XLOOKUP(A59,'PE names final'!A:A,'PE names final'!D:D),_xlfn.XLOOKUP(A59,'PE porfolio names final'!A:A,'PE porfolio names final'!D:D,"")),IF(_xlpm.d=0,"",IF(_xlpm.d&lt;D59,"Error",_xlpm.d)))</f>
        <v>Got response</v>
      </c>
      <c r="F59" s="19" t="str">
        <f t="shared" si="7"/>
        <v/>
      </c>
      <c r="G59" s="19" t="str">
        <f t="shared" si="8"/>
        <v/>
      </c>
      <c r="H59" s="19" t="str">
        <f t="shared" si="8"/>
        <v/>
      </c>
      <c r="I59" s="19" t="str">
        <f t="shared" si="8"/>
        <v/>
      </c>
      <c r="J59" s="27" t="str">
        <f t="shared" ca="1" si="5"/>
        <v/>
      </c>
      <c r="K59" s="18" t="str">
        <f t="shared" ca="1" si="2"/>
        <v/>
      </c>
      <c r="L59" s="18" t="str">
        <f t="shared" ca="1" si="3"/>
        <v/>
      </c>
      <c r="M59" s="28" t="str">
        <f t="shared" ca="1" si="4"/>
        <v/>
      </c>
    </row>
    <row r="60" spans="1:13" x14ac:dyDescent="0.3">
      <c r="A60" s="27" t="s">
        <v>328</v>
      </c>
      <c r="B60" s="18" t="str">
        <f>IF(COUNTIF('PE names final'!A:A, A60)+COUNTIF('PE porfolio names final'!A:A,A60)=1, "Yes", "Error")</f>
        <v>Yes</v>
      </c>
      <c r="C60" s="18" t="str" cm="1">
        <f t="array" ref="C60">_xlfn.IFS(AND(COUNTIF('PE names final'!A:A,A60)&gt;0,COUNTIF('PE porfolio names final'!A:A,A60)&gt;0),"PE &amp; Portfolio",COUNTIF('PE names final'!A:A,A60)&gt;0,"PE",COUNTIF('PE porfolio names final'!A:A,A60)&gt;0,"Portfolio",TRUE,"")</f>
        <v>PE</v>
      </c>
      <c r="D60" s="19">
        <f>_xlfn.LET(_xlpm.L,IFERROR(_xlfn.XLOOKUP(A60,'PE names final'!A:A,'PE names final'!C:C),_xlfn.XLOOKUP(A60,'PE porfolio names final'!A:A,'PE porfolio names final'!C:C,"")),IF(_xlpm.L=0,"",_xlpm.L))</f>
        <v>46041</v>
      </c>
      <c r="E60" s="19">
        <f>_xlfn.LET(_xlpm.d,IFERROR(_xlfn.XLOOKUP(A60,'PE names final'!A:A,'PE names final'!D:D),_xlfn.XLOOKUP(A60,'PE porfolio names final'!A:A,'PE porfolio names final'!D:D,"")),IF(_xlpm.d=0,"",IF(_xlpm.d&lt;D60,"Error",_xlpm.d)))</f>
        <v>46097</v>
      </c>
      <c r="F60" s="19">
        <f t="shared" si="7"/>
        <v>46055</v>
      </c>
      <c r="G60" s="19">
        <f t="shared" si="8"/>
        <v>46069</v>
      </c>
      <c r="H60" s="19">
        <f t="shared" si="8"/>
        <v>46083</v>
      </c>
      <c r="I60" s="19">
        <f t="shared" si="8"/>
        <v>46097</v>
      </c>
      <c r="J60" s="27" t="str">
        <f t="shared" ca="1" si="5"/>
        <v>Done</v>
      </c>
      <c r="K60" s="18" t="str">
        <f t="shared" ca="1" si="2"/>
        <v>Done</v>
      </c>
      <c r="L60" s="18" t="str">
        <f t="shared" ca="1" si="3"/>
        <v>Done</v>
      </c>
      <c r="M60" s="28" t="str">
        <f t="shared" ca="1" si="4"/>
        <v>Done</v>
      </c>
    </row>
    <row r="61" spans="1:13" x14ac:dyDescent="0.3">
      <c r="A61" s="27" t="s">
        <v>334</v>
      </c>
      <c r="B61" s="18" t="str">
        <f>IF(COUNTIF('PE names final'!A:A, A61)+COUNTIF('PE porfolio names final'!A:A,A61)=1, "Yes", "Error")</f>
        <v>Yes</v>
      </c>
      <c r="C61" s="18" t="str" cm="1">
        <f t="array" ref="C61">_xlfn.IFS(AND(COUNTIF('PE names final'!A:A,A61)&gt;0,COUNTIF('PE porfolio names final'!A:A,A61)&gt;0),"PE &amp; Portfolio",COUNTIF('PE names final'!A:A,A61)&gt;0,"PE",COUNTIF('PE porfolio names final'!A:A,A61)&gt;0,"Portfolio",TRUE,"")</f>
        <v>PE</v>
      </c>
      <c r="D61" s="19">
        <f>_xlfn.LET(_xlpm.L,IFERROR(_xlfn.XLOOKUP(A61,'PE names final'!A:A,'PE names final'!C:C),_xlfn.XLOOKUP(A61,'PE porfolio names final'!A:A,'PE porfolio names final'!C:C,"")),IF(_xlpm.L=0,"",_xlpm.L))</f>
        <v>46041</v>
      </c>
      <c r="E61" s="19">
        <f>_xlfn.LET(_xlpm.d,IFERROR(_xlfn.XLOOKUP(A61,'PE names final'!A:A,'PE names final'!D:D),_xlfn.XLOOKUP(A61,'PE porfolio names final'!A:A,'PE porfolio names final'!D:D,"")),IF(_xlpm.d=0,"",IF(_xlpm.d&lt;D61,"Error",_xlpm.d)))</f>
        <v>46097</v>
      </c>
      <c r="F61" s="19">
        <f t="shared" si="7"/>
        <v>46055</v>
      </c>
      <c r="G61" s="19">
        <f t="shared" si="8"/>
        <v>46069</v>
      </c>
      <c r="H61" s="19">
        <f t="shared" si="8"/>
        <v>46083</v>
      </c>
      <c r="I61" s="19">
        <f t="shared" si="8"/>
        <v>46097</v>
      </c>
      <c r="J61" s="27" t="str">
        <f t="shared" ca="1" si="5"/>
        <v>Done</v>
      </c>
      <c r="K61" s="18" t="str">
        <f t="shared" ca="1" si="2"/>
        <v>Done</v>
      </c>
      <c r="L61" s="18" t="str">
        <f t="shared" ca="1" si="3"/>
        <v>Done</v>
      </c>
      <c r="M61" s="28" t="str">
        <f t="shared" ca="1" si="4"/>
        <v>Done</v>
      </c>
    </row>
    <row r="62" spans="1:13" x14ac:dyDescent="0.3">
      <c r="A62" s="27" t="s">
        <v>339</v>
      </c>
      <c r="B62" s="18" t="str">
        <f>IF(COUNTIF('PE names final'!A:A, A62)+COUNTIF('PE porfolio names final'!A:A,A62)=1, "Yes", "Error")</f>
        <v>Yes</v>
      </c>
      <c r="C62" s="18" t="str" cm="1">
        <f t="array" ref="C62">_xlfn.IFS(AND(COUNTIF('PE names final'!A:A,A62)&gt;0,COUNTIF('PE porfolio names final'!A:A,A62)&gt;0),"PE &amp; Portfolio",COUNTIF('PE names final'!A:A,A62)&gt;0,"PE",COUNTIF('PE porfolio names final'!A:A,A62)&gt;0,"Portfolio",TRUE,"")</f>
        <v>PE</v>
      </c>
      <c r="D62" s="19">
        <f>_xlfn.LET(_xlpm.L,IFERROR(_xlfn.XLOOKUP(A62,'PE names final'!A:A,'PE names final'!C:C),_xlfn.XLOOKUP(A62,'PE porfolio names final'!A:A,'PE porfolio names final'!C:C,"")),IF(_xlpm.L=0,"",_xlpm.L))</f>
        <v>46062</v>
      </c>
      <c r="E62" s="19" t="str">
        <f>_xlfn.LET(_xlpm.d,IFERROR(_xlfn.XLOOKUP(A62,'PE names final'!A:A,'PE names final'!D:D),_xlfn.XLOOKUP(A62,'PE porfolio names final'!A:A,'PE porfolio names final'!D:D,"")),IF(_xlpm.d=0,"",IF(_xlpm.d&lt;D62,"Error",_xlpm.d)))</f>
        <v>Bounced</v>
      </c>
      <c r="F62" s="19" t="str">
        <f t="shared" si="7"/>
        <v/>
      </c>
      <c r="G62" s="19" t="str">
        <f t="shared" si="8"/>
        <v/>
      </c>
      <c r="H62" s="19" t="str">
        <f t="shared" si="8"/>
        <v/>
      </c>
      <c r="I62" s="19" t="str">
        <f t="shared" si="8"/>
        <v/>
      </c>
      <c r="J62" s="27" t="str">
        <f t="shared" ca="1" si="5"/>
        <v/>
      </c>
      <c r="K62" s="18" t="str">
        <f t="shared" ca="1" si="2"/>
        <v/>
      </c>
      <c r="L62" s="18" t="str">
        <f t="shared" ca="1" si="3"/>
        <v/>
      </c>
      <c r="M62" s="28" t="str">
        <f t="shared" ca="1" si="4"/>
        <v/>
      </c>
    </row>
    <row r="63" spans="1:13" x14ac:dyDescent="0.3">
      <c r="A63" s="27" t="s">
        <v>344</v>
      </c>
      <c r="B63" s="18" t="str">
        <f>IF(COUNTIF('PE names final'!A:A, A63)+COUNTIF('PE porfolio names final'!A:A,A63)=1, "Yes", "Error")</f>
        <v>Yes</v>
      </c>
      <c r="C63" s="18" t="str" cm="1">
        <f t="array" ref="C63">_xlfn.IFS(AND(COUNTIF('PE names final'!A:A,A63)&gt;0,COUNTIF('PE porfolio names final'!A:A,A63)&gt;0),"PE &amp; Portfolio",COUNTIF('PE names final'!A:A,A63)&gt;0,"PE",COUNTIF('PE porfolio names final'!A:A,A63)&gt;0,"Portfolio",TRUE,"")</f>
        <v>PE</v>
      </c>
      <c r="D63" s="19">
        <f>_xlfn.LET(_xlpm.L,IFERROR(_xlfn.XLOOKUP(A63,'PE names final'!A:A,'PE names final'!C:C),_xlfn.XLOOKUP(A63,'PE porfolio names final'!A:A,'PE porfolio names final'!C:C,"")),IF(_xlpm.L=0,"",_xlpm.L))</f>
        <v>46041</v>
      </c>
      <c r="E63" s="19">
        <f>_xlfn.LET(_xlpm.d,IFERROR(_xlfn.XLOOKUP(A63,'PE names final'!A:A,'PE names final'!D:D),_xlfn.XLOOKUP(A63,'PE porfolio names final'!A:A,'PE porfolio names final'!D:D,"")),IF(_xlpm.d=0,"",IF(_xlpm.d&lt;D63,"Error",_xlpm.d)))</f>
        <v>46097</v>
      </c>
      <c r="F63" s="19">
        <f t="shared" si="7"/>
        <v>46055</v>
      </c>
      <c r="G63" s="19">
        <f t="shared" si="8"/>
        <v>46069</v>
      </c>
      <c r="H63" s="19">
        <f t="shared" si="8"/>
        <v>46083</v>
      </c>
      <c r="I63" s="19">
        <f t="shared" si="8"/>
        <v>46097</v>
      </c>
      <c r="J63" s="27" t="str">
        <f t="shared" ca="1" si="5"/>
        <v>Done</v>
      </c>
      <c r="K63" s="18" t="str">
        <f t="shared" ca="1" si="2"/>
        <v>Done</v>
      </c>
      <c r="L63" s="18" t="str">
        <f t="shared" ca="1" si="3"/>
        <v>Done</v>
      </c>
      <c r="M63" s="28" t="str">
        <f t="shared" ca="1" si="4"/>
        <v>Done</v>
      </c>
    </row>
    <row r="64" spans="1:13" x14ac:dyDescent="0.3">
      <c r="A64" s="27" t="s">
        <v>349</v>
      </c>
      <c r="B64" s="18" t="str">
        <f>IF(COUNTIF('PE names final'!A:A, A64)+COUNTIF('PE porfolio names final'!A:A,A64)=1, "Yes", "Error")</f>
        <v>Yes</v>
      </c>
      <c r="C64" s="18" t="str" cm="1">
        <f t="array" ref="C64">_xlfn.IFS(AND(COUNTIF('PE names final'!A:A,A64)&gt;0,COUNTIF('PE porfolio names final'!A:A,A64)&gt;0),"PE &amp; Portfolio",COUNTIF('PE names final'!A:A,A64)&gt;0,"PE",COUNTIF('PE porfolio names final'!A:A,A64)&gt;0,"Portfolio",TRUE,"")</f>
        <v>PE</v>
      </c>
      <c r="D64" s="19">
        <f>_xlfn.LET(_xlpm.L,IFERROR(_xlfn.XLOOKUP(A64,'PE names final'!A:A,'PE names final'!C:C),_xlfn.XLOOKUP(A64,'PE porfolio names final'!A:A,'PE porfolio names final'!C:C,"")),IF(_xlpm.L=0,"",_xlpm.L))</f>
        <v>46041</v>
      </c>
      <c r="E64" s="19">
        <f>_xlfn.LET(_xlpm.d,IFERROR(_xlfn.XLOOKUP(A64,'PE names final'!A:A,'PE names final'!D:D),_xlfn.XLOOKUP(A64,'PE porfolio names final'!A:A,'PE porfolio names final'!D:D,"")),IF(_xlpm.d=0,"",IF(_xlpm.d&lt;D64,"Error",_xlpm.d)))</f>
        <v>46097</v>
      </c>
      <c r="F64" s="19">
        <f t="shared" si="7"/>
        <v>46055</v>
      </c>
      <c r="G64" s="19">
        <f t="shared" si="8"/>
        <v>46069</v>
      </c>
      <c r="H64" s="19">
        <f t="shared" si="8"/>
        <v>46083</v>
      </c>
      <c r="I64" s="19">
        <f t="shared" si="8"/>
        <v>46097</v>
      </c>
      <c r="J64" s="27" t="str">
        <f t="shared" ca="1" si="5"/>
        <v>Done</v>
      </c>
      <c r="K64" s="18" t="str">
        <f t="shared" ca="1" si="2"/>
        <v>Done</v>
      </c>
      <c r="L64" s="18" t="str">
        <f t="shared" ca="1" si="3"/>
        <v>Done</v>
      </c>
      <c r="M64" s="28" t="str">
        <f t="shared" ca="1" si="4"/>
        <v>Done</v>
      </c>
    </row>
    <row r="65" spans="1:13" x14ac:dyDescent="0.3">
      <c r="A65" s="27" t="s">
        <v>355</v>
      </c>
      <c r="B65" s="18" t="str">
        <f>IF(COUNTIF('PE names final'!A:A, A65)+COUNTIF('PE porfolio names final'!A:A,A65)=1, "Yes", "Error")</f>
        <v>Yes</v>
      </c>
      <c r="C65" s="18" t="str" cm="1">
        <f t="array" ref="C65">_xlfn.IFS(AND(COUNTIF('PE names final'!A:A,A65)&gt;0,COUNTIF('PE porfolio names final'!A:A,A65)&gt;0),"PE &amp; Portfolio",COUNTIF('PE names final'!A:A,A65)&gt;0,"PE",COUNTIF('PE porfolio names final'!A:A,A65)&gt;0,"Portfolio",TRUE,"")</f>
        <v>PE</v>
      </c>
      <c r="D65" s="19">
        <f>_xlfn.LET(_xlpm.L,IFERROR(_xlfn.XLOOKUP(A65,'PE names final'!A:A,'PE names final'!C:C),_xlfn.XLOOKUP(A65,'PE porfolio names final'!A:A,'PE porfolio names final'!C:C,"")),IF(_xlpm.L=0,"",_xlpm.L))</f>
        <v>46041</v>
      </c>
      <c r="E65" s="19">
        <f>_xlfn.LET(_xlpm.d,IFERROR(_xlfn.XLOOKUP(A65,'PE names final'!A:A,'PE names final'!D:D),_xlfn.XLOOKUP(A65,'PE porfolio names final'!A:A,'PE porfolio names final'!D:D,"")),IF(_xlpm.d=0,"",IF(_xlpm.d&lt;D65,"Error",_xlpm.d)))</f>
        <v>46097</v>
      </c>
      <c r="F65" s="19">
        <f t="shared" si="7"/>
        <v>46055</v>
      </c>
      <c r="G65" s="19">
        <f t="shared" si="8"/>
        <v>46069</v>
      </c>
      <c r="H65" s="19">
        <f t="shared" si="8"/>
        <v>46083</v>
      </c>
      <c r="I65" s="19">
        <f t="shared" si="8"/>
        <v>46097</v>
      </c>
      <c r="J65" s="27" t="str">
        <f t="shared" ca="1" si="5"/>
        <v>Done</v>
      </c>
      <c r="K65" s="18" t="str">
        <f t="shared" ca="1" si="2"/>
        <v>Done</v>
      </c>
      <c r="L65" s="18" t="str">
        <f t="shared" ca="1" si="3"/>
        <v>Done</v>
      </c>
      <c r="M65" s="28" t="str">
        <f t="shared" ca="1" si="4"/>
        <v>Done</v>
      </c>
    </row>
    <row r="66" spans="1:13" x14ac:dyDescent="0.3">
      <c r="A66" s="27" t="s">
        <v>360</v>
      </c>
      <c r="B66" s="18" t="str">
        <f>IF(COUNTIF('PE names final'!A:A, A66)+COUNTIF('PE porfolio names final'!A:A,A66)=1, "Yes", "Error")</f>
        <v>Yes</v>
      </c>
      <c r="C66" s="18" t="str" cm="1">
        <f t="array" ref="C66">_xlfn.IFS(AND(COUNTIF('PE names final'!A:A,A66)&gt;0,COUNTIF('PE porfolio names final'!A:A,A66)&gt;0),"PE &amp; Portfolio",COUNTIF('PE names final'!A:A,A66)&gt;0,"PE",COUNTIF('PE porfolio names final'!A:A,A66)&gt;0,"Portfolio",TRUE,"")</f>
        <v>PE</v>
      </c>
      <c r="D66" s="19">
        <f>_xlfn.LET(_xlpm.L,IFERROR(_xlfn.XLOOKUP(A66,'PE names final'!A:A,'PE names final'!C:C),_xlfn.XLOOKUP(A66,'PE porfolio names final'!A:A,'PE porfolio names final'!C:C,"")),IF(_xlpm.L=0,"",_xlpm.L))</f>
        <v>46041</v>
      </c>
      <c r="E66" s="19">
        <f>_xlfn.LET(_xlpm.d,IFERROR(_xlfn.XLOOKUP(A66,'PE names final'!A:A,'PE names final'!D:D),_xlfn.XLOOKUP(A66,'PE porfolio names final'!A:A,'PE porfolio names final'!D:D,"")),IF(_xlpm.d=0,"",IF(_xlpm.d&lt;D66,"Error",_xlpm.d)))</f>
        <v>46097</v>
      </c>
      <c r="F66" s="19">
        <f t="shared" si="7"/>
        <v>46055</v>
      </c>
      <c r="G66" s="19">
        <f t="shared" si="8"/>
        <v>46069</v>
      </c>
      <c r="H66" s="19">
        <f t="shared" si="8"/>
        <v>46083</v>
      </c>
      <c r="I66" s="19">
        <f t="shared" si="8"/>
        <v>46097</v>
      </c>
      <c r="J66" s="27" t="str">
        <f t="shared" ca="1" si="5"/>
        <v>Done</v>
      </c>
      <c r="K66" s="18" t="str">
        <f t="shared" ca="1" si="2"/>
        <v>Done</v>
      </c>
      <c r="L66" s="18" t="str">
        <f t="shared" ca="1" si="3"/>
        <v>Done</v>
      </c>
      <c r="M66" s="28" t="str">
        <f t="shared" ca="1" si="4"/>
        <v>Done</v>
      </c>
    </row>
    <row r="67" spans="1:13" x14ac:dyDescent="0.3">
      <c r="A67" s="27" t="s">
        <v>366</v>
      </c>
      <c r="B67" s="18" t="str">
        <f>IF(COUNTIF('PE names final'!A:A, A67)+COUNTIF('PE porfolio names final'!A:A,A67)=1, "Yes", "Error")</f>
        <v>Yes</v>
      </c>
      <c r="C67" s="18" t="str" cm="1">
        <f t="array" ref="C67">_xlfn.IFS(AND(COUNTIF('PE names final'!A:A,A67)&gt;0,COUNTIF('PE porfolio names final'!A:A,A67)&gt;0),"PE &amp; Portfolio",COUNTIF('PE names final'!A:A,A67)&gt;0,"PE",COUNTIF('PE porfolio names final'!A:A,A67)&gt;0,"Portfolio",TRUE,"")</f>
        <v>PE</v>
      </c>
      <c r="D67" s="19">
        <f>_xlfn.LET(_xlpm.L,IFERROR(_xlfn.XLOOKUP(A67,'PE names final'!A:A,'PE names final'!C:C),_xlfn.XLOOKUP(A67,'PE porfolio names final'!A:A,'PE porfolio names final'!C:C,"")),IF(_xlpm.L=0,"",_xlpm.L))</f>
        <v>46041</v>
      </c>
      <c r="E67" s="19">
        <f>_xlfn.LET(_xlpm.d,IFERROR(_xlfn.XLOOKUP(A67,'PE names final'!A:A,'PE names final'!D:D),_xlfn.XLOOKUP(A67,'PE porfolio names final'!A:A,'PE porfolio names final'!D:D,"")),IF(_xlpm.d=0,"",IF(_xlpm.d&lt;D67,"Error",_xlpm.d)))</f>
        <v>46097</v>
      </c>
      <c r="F67" s="19">
        <f t="shared" si="7"/>
        <v>46055</v>
      </c>
      <c r="G67" s="19">
        <f t="shared" ref="G67:I86" si="9">IF(ISNUMBER($E67),F67+14,"")</f>
        <v>46069</v>
      </c>
      <c r="H67" s="19">
        <f t="shared" si="9"/>
        <v>46083</v>
      </c>
      <c r="I67" s="19">
        <f t="shared" si="9"/>
        <v>46097</v>
      </c>
      <c r="J67" s="27" t="str">
        <f t="shared" ca="1" si="5"/>
        <v>Done</v>
      </c>
      <c r="K67" s="18" t="str">
        <f t="shared" ca="1" si="2"/>
        <v>Done</v>
      </c>
      <c r="L67" s="18" t="str">
        <f t="shared" ca="1" si="3"/>
        <v>Done</v>
      </c>
      <c r="M67" s="28" t="str">
        <f t="shared" ca="1" si="4"/>
        <v>Done</v>
      </c>
    </row>
    <row r="68" spans="1:13" x14ac:dyDescent="0.3">
      <c r="A68" s="27" t="s">
        <v>372</v>
      </c>
      <c r="B68" s="18" t="str">
        <f>IF(COUNTIF('PE names final'!A:A, A68)+COUNTIF('PE porfolio names final'!A:A,A68)=1, "Yes", "Error")</f>
        <v>Yes</v>
      </c>
      <c r="C68" s="18" t="str" cm="1">
        <f t="array" ref="C68">_xlfn.IFS(AND(COUNTIF('PE names final'!A:A,A68)&gt;0,COUNTIF('PE porfolio names final'!A:A,A68)&gt;0),"PE &amp; Portfolio",COUNTIF('PE names final'!A:A,A68)&gt;0,"PE",COUNTIF('PE porfolio names final'!A:A,A68)&gt;0,"Portfolio",TRUE,"")</f>
        <v>PE</v>
      </c>
      <c r="D68" s="19">
        <f>_xlfn.LET(_xlpm.L,IFERROR(_xlfn.XLOOKUP(A68,'PE names final'!A:A,'PE names final'!C:C),_xlfn.XLOOKUP(A68,'PE porfolio names final'!A:A,'PE porfolio names final'!C:C,"")),IF(_xlpm.L=0,"",_xlpm.L))</f>
        <v>46041</v>
      </c>
      <c r="E68" s="19">
        <f>_xlfn.LET(_xlpm.d,IFERROR(_xlfn.XLOOKUP(A68,'PE names final'!A:A,'PE names final'!D:D),_xlfn.XLOOKUP(A68,'PE porfolio names final'!A:A,'PE porfolio names final'!D:D,"")),IF(_xlpm.d=0,"",IF(_xlpm.d&lt;D68,"Error",_xlpm.d)))</f>
        <v>46097</v>
      </c>
      <c r="F68" s="19">
        <f t="shared" si="7"/>
        <v>46055</v>
      </c>
      <c r="G68" s="19">
        <f t="shared" si="9"/>
        <v>46069</v>
      </c>
      <c r="H68" s="19">
        <f t="shared" si="9"/>
        <v>46083</v>
      </c>
      <c r="I68" s="19">
        <f t="shared" si="9"/>
        <v>46097</v>
      </c>
      <c r="J68" s="27" t="str">
        <f t="shared" ca="1" si="5"/>
        <v>Done</v>
      </c>
      <c r="K68" s="18" t="str">
        <f t="shared" ca="1" si="2"/>
        <v>Done</v>
      </c>
      <c r="L68" s="18" t="str">
        <f t="shared" ca="1" si="3"/>
        <v>Done</v>
      </c>
      <c r="M68" s="28" t="str">
        <f t="shared" ca="1" si="4"/>
        <v>Done</v>
      </c>
    </row>
    <row r="69" spans="1:13" x14ac:dyDescent="0.3">
      <c r="A69" s="27" t="s">
        <v>395</v>
      </c>
      <c r="B69" s="18" t="str">
        <f>IF(COUNTIF('PE names final'!A:A, A69)+COUNTIF('PE porfolio names final'!A:A,A69)=1, "Yes", "Error")</f>
        <v>Yes</v>
      </c>
      <c r="C69" s="18" t="str" cm="1">
        <f t="array" ref="C69">_xlfn.IFS(AND(COUNTIF('PE names final'!A:A,A69)&gt;0,COUNTIF('PE porfolio names final'!A:A,A69)&gt;0),"PE &amp; Portfolio",COUNTIF('PE names final'!A:A,A69)&gt;0,"PE",COUNTIF('PE porfolio names final'!A:A,A69)&gt;0,"Portfolio",TRUE,"")</f>
        <v>Portfolio</v>
      </c>
      <c r="D69" s="19">
        <f>_xlfn.LET(_xlpm.L,IFERROR(_xlfn.XLOOKUP(A69,'PE names final'!A:A,'PE names final'!C:C),_xlfn.XLOOKUP(A69,'PE porfolio names final'!A:A,'PE porfolio names final'!C:C,"")),IF(_xlpm.L=0,"",_xlpm.L))</f>
        <v>46056</v>
      </c>
      <c r="E69" s="19">
        <f>_xlfn.LET(_xlpm.d,IFERROR(_xlfn.XLOOKUP(A69,'PE names final'!A:A,'PE names final'!D:D),_xlfn.XLOOKUP(A69,'PE porfolio names final'!A:A,'PE porfolio names final'!D:D,"")),IF(_xlpm.d=0,"",IF(_xlpm.d&lt;D69,"Error",_xlpm.d)))</f>
        <v>46112</v>
      </c>
      <c r="F69" s="19">
        <f t="shared" si="7"/>
        <v>46070</v>
      </c>
      <c r="G69" s="19">
        <f t="shared" si="9"/>
        <v>46084</v>
      </c>
      <c r="H69" s="19">
        <f t="shared" si="9"/>
        <v>46098</v>
      </c>
      <c r="I69" s="19">
        <f t="shared" si="9"/>
        <v>46112</v>
      </c>
      <c r="J69" s="27" t="str">
        <f t="shared" ca="1" si="5"/>
        <v>Done</v>
      </c>
      <c r="K69" s="18" t="str">
        <f t="shared" ca="1" si="2"/>
        <v>Done</v>
      </c>
      <c r="L69" s="18" t="str">
        <f t="shared" ca="1" si="3"/>
        <v>Done</v>
      </c>
      <c r="M69" s="28" t="str">
        <f t="shared" ca="1" si="4"/>
        <v>Done</v>
      </c>
    </row>
    <row r="70" spans="1:13" x14ac:dyDescent="0.3">
      <c r="A70" s="27" t="s">
        <v>402</v>
      </c>
      <c r="B70" s="18" t="str">
        <f>IF(COUNTIF('PE names final'!A:A, A70)+COUNTIF('PE porfolio names final'!A:A,A70)=1, "Yes", "Error")</f>
        <v>Yes</v>
      </c>
      <c r="C70" s="18" t="str" cm="1">
        <f t="array" ref="C70">_xlfn.IFS(AND(COUNTIF('PE names final'!A:A,A70)&gt;0,COUNTIF('PE porfolio names final'!A:A,A70)&gt;0),"PE &amp; Portfolio",COUNTIF('PE names final'!A:A,A70)&gt;0,"PE",COUNTIF('PE porfolio names final'!A:A,A70)&gt;0,"Portfolio",TRUE,"")</f>
        <v>Portfolio</v>
      </c>
      <c r="D70" s="19">
        <f>_xlfn.LET(_xlpm.L,IFERROR(_xlfn.XLOOKUP(A70,'PE names final'!A:A,'PE names final'!C:C),_xlfn.XLOOKUP(A70,'PE porfolio names final'!A:A,'PE porfolio names final'!C:C,"")),IF(_xlpm.L=0,"",_xlpm.L))</f>
        <v>46062</v>
      </c>
      <c r="E70" s="19" t="str">
        <f>_xlfn.LET(_xlpm.d,IFERROR(_xlfn.XLOOKUP(A70,'PE names final'!A:A,'PE names final'!D:D),_xlfn.XLOOKUP(A70,'PE porfolio names final'!A:A,'PE porfolio names final'!D:D,"")),IF(_xlpm.d=0,"",IF(_xlpm.d&lt;D70,"Error",_xlpm.d)))</f>
        <v>Got response</v>
      </c>
      <c r="F70" s="19" t="str">
        <f t="shared" si="7"/>
        <v/>
      </c>
      <c r="G70" s="19" t="str">
        <f t="shared" si="9"/>
        <v/>
      </c>
      <c r="H70" s="19" t="str">
        <f t="shared" si="9"/>
        <v/>
      </c>
      <c r="I70" s="19" t="str">
        <f t="shared" si="9"/>
        <v/>
      </c>
      <c r="J70" s="27" t="str">
        <f t="shared" ca="1" si="5"/>
        <v/>
      </c>
      <c r="K70" s="18" t="str">
        <f t="shared" ca="1" si="2"/>
        <v/>
      </c>
      <c r="L70" s="18" t="str">
        <f t="shared" ca="1" si="3"/>
        <v/>
      </c>
      <c r="M70" s="28" t="str">
        <f t="shared" ca="1" si="4"/>
        <v/>
      </c>
    </row>
    <row r="71" spans="1:13" x14ac:dyDescent="0.3">
      <c r="A71" s="27" t="s">
        <v>408</v>
      </c>
      <c r="B71" s="18" t="str">
        <f>IF(COUNTIF('PE names final'!A:A, A71)+COUNTIF('PE porfolio names final'!A:A,A71)=1, "Yes", "Error")</f>
        <v>Yes</v>
      </c>
      <c r="C71" s="18" t="str" cm="1">
        <f t="array" ref="C71">_xlfn.IFS(AND(COUNTIF('PE names final'!A:A,A71)&gt;0,COUNTIF('PE porfolio names final'!A:A,A71)&gt;0),"PE &amp; Portfolio",COUNTIF('PE names final'!A:A,A71)&gt;0,"PE",COUNTIF('PE porfolio names final'!A:A,A71)&gt;0,"Portfolio",TRUE,"")</f>
        <v>Portfolio</v>
      </c>
      <c r="D71" s="19">
        <f>_xlfn.LET(_xlpm.L,IFERROR(_xlfn.XLOOKUP(A71,'PE names final'!A:A,'PE names final'!C:C),_xlfn.XLOOKUP(A71,'PE porfolio names final'!A:A,'PE porfolio names final'!C:C,"")),IF(_xlpm.L=0,"",_xlpm.L))</f>
        <v>46062</v>
      </c>
      <c r="E71" s="19" t="str">
        <f>_xlfn.LET(_xlpm.d,IFERROR(_xlfn.XLOOKUP(A71,'PE names final'!A:A,'PE names final'!D:D),_xlfn.XLOOKUP(A71,'PE porfolio names final'!A:A,'PE porfolio names final'!D:D,"")),IF(_xlpm.d=0,"",IF(_xlpm.d&lt;D71,"Error",_xlpm.d)))</f>
        <v>Vishnu got response</v>
      </c>
      <c r="F71" s="19" t="str">
        <f t="shared" ref="F71:F102" si="10">IF(ISNUMBER($E71),D71+14,"")</f>
        <v/>
      </c>
      <c r="G71" s="19" t="str">
        <f t="shared" si="9"/>
        <v/>
      </c>
      <c r="H71" s="19" t="str">
        <f t="shared" si="9"/>
        <v/>
      </c>
      <c r="I71" s="19" t="str">
        <f t="shared" si="9"/>
        <v/>
      </c>
      <c r="J71" s="27" t="str">
        <f t="shared" ca="1" si="5"/>
        <v/>
      </c>
      <c r="K71" s="18" t="str">
        <f t="shared" ref="K71:K113" ca="1" si="11">IF(NOT(ISNUMBER($E71)),"",IF($E71&gt;=G71,"Done",G71-TODAY()))</f>
        <v/>
      </c>
      <c r="L71" s="18" t="str">
        <f t="shared" ref="L71:L113" ca="1" si="12">IF(NOT(ISNUMBER($E71)),"",IF($E71&gt;=H71,"Done",H71-TODAY()))</f>
        <v/>
      </c>
      <c r="M71" s="28" t="str">
        <f t="shared" ref="M71:M113" ca="1" si="13">IF(NOT(ISNUMBER($E71)),"",IF($E71&gt;=I71,"Done",I71-TODAY()))</f>
        <v/>
      </c>
    </row>
    <row r="72" spans="1:13" x14ac:dyDescent="0.3">
      <c r="A72" s="27" t="s">
        <v>414</v>
      </c>
      <c r="B72" s="18" t="str">
        <f>IF(COUNTIF('PE names final'!A:A, A72)+COUNTIF('PE porfolio names final'!A:A,A72)=1, "Yes", "Error")</f>
        <v>Yes</v>
      </c>
      <c r="C72" s="18" t="str" cm="1">
        <f t="array" ref="C72">_xlfn.IFS(AND(COUNTIF('PE names final'!A:A,A72)&gt;0,COUNTIF('PE porfolio names final'!A:A,A72)&gt;0),"PE &amp; Portfolio",COUNTIF('PE names final'!A:A,A72)&gt;0,"PE",COUNTIF('PE porfolio names final'!A:A,A72)&gt;0,"Portfolio",TRUE,"")</f>
        <v>Portfolio</v>
      </c>
      <c r="D72" s="19">
        <f>_xlfn.LET(_xlpm.L,IFERROR(_xlfn.XLOOKUP(A72,'PE names final'!A:A,'PE names final'!C:C),_xlfn.XLOOKUP(A72,'PE porfolio names final'!A:A,'PE porfolio names final'!C:C,"")),IF(_xlpm.L=0,"",_xlpm.L))</f>
        <v>46062</v>
      </c>
      <c r="E72" s="19">
        <f>_xlfn.LET(_xlpm.d,IFERROR(_xlfn.XLOOKUP(A72,'PE names final'!A:A,'PE names final'!D:D),_xlfn.XLOOKUP(A72,'PE porfolio names final'!A:A,'PE porfolio names final'!D:D,"")),IF(_xlpm.d=0,"",IF(_xlpm.d&lt;D72,"Error",_xlpm.d)))</f>
        <v>46120</v>
      </c>
      <c r="F72" s="19">
        <f t="shared" si="10"/>
        <v>46076</v>
      </c>
      <c r="G72" s="19">
        <f t="shared" si="9"/>
        <v>46090</v>
      </c>
      <c r="H72" s="19">
        <f t="shared" si="9"/>
        <v>46104</v>
      </c>
      <c r="I72" s="19">
        <f t="shared" si="9"/>
        <v>46118</v>
      </c>
      <c r="J72" s="27" t="str">
        <f t="shared" ref="J72:J113" ca="1" si="14">IF(NOT(ISNUMBER($E72)),"",IF($E72&gt;=F72,"Done",F72-TODAY()))</f>
        <v>Done</v>
      </c>
      <c r="K72" s="18" t="str">
        <f t="shared" ca="1" si="11"/>
        <v>Done</v>
      </c>
      <c r="L72" s="18" t="str">
        <f t="shared" ca="1" si="12"/>
        <v>Done</v>
      </c>
      <c r="M72" s="28" t="str">
        <f t="shared" ca="1" si="13"/>
        <v>Done</v>
      </c>
    </row>
    <row r="73" spans="1:13" x14ac:dyDescent="0.3">
      <c r="A73" s="27" t="s">
        <v>420</v>
      </c>
      <c r="B73" s="18" t="str">
        <f>IF(COUNTIF('PE names final'!A:A, A73)+COUNTIF('PE porfolio names final'!A:A,A73)=1, "Yes", "Error")</f>
        <v>Yes</v>
      </c>
      <c r="C73" s="18" t="str" cm="1">
        <f t="array" ref="C73">_xlfn.IFS(AND(COUNTIF('PE names final'!A:A,A73)&gt;0,COUNTIF('PE porfolio names final'!A:A,A73)&gt;0),"PE &amp; Portfolio",COUNTIF('PE names final'!A:A,A73)&gt;0,"PE",COUNTIF('PE porfolio names final'!A:A,A73)&gt;0,"Portfolio",TRUE,"")</f>
        <v>Portfolio</v>
      </c>
      <c r="D73" s="19">
        <f>_xlfn.LET(_xlpm.L,IFERROR(_xlfn.XLOOKUP(A73,'PE names final'!A:A,'PE names final'!C:C),_xlfn.XLOOKUP(A73,'PE porfolio names final'!A:A,'PE porfolio names final'!C:C,"")),IF(_xlpm.L=0,"",_xlpm.L))</f>
        <v>46062</v>
      </c>
      <c r="E73" s="19">
        <f>_xlfn.LET(_xlpm.d,IFERROR(_xlfn.XLOOKUP(A73,'PE names final'!A:A,'PE names final'!D:D),_xlfn.XLOOKUP(A73,'PE porfolio names final'!A:A,'PE porfolio names final'!D:D,"")),IF(_xlpm.d=0,"",IF(_xlpm.d&lt;D73,"Error",_xlpm.d)))</f>
        <v>46120</v>
      </c>
      <c r="F73" s="19">
        <f t="shared" si="10"/>
        <v>46076</v>
      </c>
      <c r="G73" s="19">
        <f t="shared" si="9"/>
        <v>46090</v>
      </c>
      <c r="H73" s="19">
        <f t="shared" si="9"/>
        <v>46104</v>
      </c>
      <c r="I73" s="19">
        <f t="shared" si="9"/>
        <v>46118</v>
      </c>
      <c r="J73" s="27" t="str">
        <f t="shared" ca="1" si="14"/>
        <v>Done</v>
      </c>
      <c r="K73" s="18" t="str">
        <f t="shared" ca="1" si="11"/>
        <v>Done</v>
      </c>
      <c r="L73" s="18" t="str">
        <f t="shared" ca="1" si="12"/>
        <v>Done</v>
      </c>
      <c r="M73" s="28" t="str">
        <f t="shared" ca="1" si="13"/>
        <v>Done</v>
      </c>
    </row>
    <row r="74" spans="1:13" x14ac:dyDescent="0.3">
      <c r="A74" s="27" t="s">
        <v>425</v>
      </c>
      <c r="B74" s="18" t="str">
        <f>IF(COUNTIF('PE names final'!A:A, A74)+COUNTIF('PE porfolio names final'!A:A,A74)=1, "Yes", "Error")</f>
        <v>Yes</v>
      </c>
      <c r="C74" s="18" t="str" cm="1">
        <f t="array" ref="C74">_xlfn.IFS(AND(COUNTIF('PE names final'!A:A,A74)&gt;0,COUNTIF('PE porfolio names final'!A:A,A74)&gt;0),"PE &amp; Portfolio",COUNTIF('PE names final'!A:A,A74)&gt;0,"PE",COUNTIF('PE porfolio names final'!A:A,A74)&gt;0,"Portfolio",TRUE,"")</f>
        <v>Portfolio</v>
      </c>
      <c r="D74" s="19">
        <f>_xlfn.LET(_xlpm.L,IFERROR(_xlfn.XLOOKUP(A74,'PE names final'!A:A,'PE names final'!C:C),_xlfn.XLOOKUP(A74,'PE porfolio names final'!A:A,'PE porfolio names final'!C:C,"")),IF(_xlpm.L=0,"",_xlpm.L))</f>
        <v>46062</v>
      </c>
      <c r="E74" s="19">
        <f>_xlfn.LET(_xlpm.d,IFERROR(_xlfn.XLOOKUP(A74,'PE names final'!A:A,'PE names final'!D:D),_xlfn.XLOOKUP(A74,'PE porfolio names final'!A:A,'PE porfolio names final'!D:D,"")),IF(_xlpm.d=0,"",IF(_xlpm.d&lt;D74,"Error",_xlpm.d)))</f>
        <v>46120</v>
      </c>
      <c r="F74" s="19">
        <f t="shared" si="10"/>
        <v>46076</v>
      </c>
      <c r="G74" s="19">
        <f t="shared" si="9"/>
        <v>46090</v>
      </c>
      <c r="H74" s="19">
        <f t="shared" si="9"/>
        <v>46104</v>
      </c>
      <c r="I74" s="19">
        <f t="shared" si="9"/>
        <v>46118</v>
      </c>
      <c r="J74" s="27" t="str">
        <f t="shared" ca="1" si="14"/>
        <v>Done</v>
      </c>
      <c r="K74" s="18" t="str">
        <f t="shared" ca="1" si="11"/>
        <v>Done</v>
      </c>
      <c r="L74" s="18" t="str">
        <f t="shared" ca="1" si="12"/>
        <v>Done</v>
      </c>
      <c r="M74" s="28" t="str">
        <f t="shared" ca="1" si="13"/>
        <v>Done</v>
      </c>
    </row>
    <row r="75" spans="1:13" x14ac:dyDescent="0.3">
      <c r="A75" s="27" t="s">
        <v>431</v>
      </c>
      <c r="B75" s="18" t="str">
        <f>IF(COUNTIF('PE names final'!A:A, A75)+COUNTIF('PE porfolio names final'!A:A,A75)=1, "Yes", "Error")</f>
        <v>Yes</v>
      </c>
      <c r="C75" s="18" t="str" cm="1">
        <f t="array" ref="C75">_xlfn.IFS(AND(COUNTIF('PE names final'!A:A,A75)&gt;0,COUNTIF('PE porfolio names final'!A:A,A75)&gt;0),"PE &amp; Portfolio",COUNTIF('PE names final'!A:A,A75)&gt;0,"PE",COUNTIF('PE porfolio names final'!A:A,A75)&gt;0,"Portfolio",TRUE,"")</f>
        <v>Portfolio</v>
      </c>
      <c r="D75" s="19">
        <f>_xlfn.LET(_xlpm.L,IFERROR(_xlfn.XLOOKUP(A75,'PE names final'!A:A,'PE names final'!C:C),_xlfn.XLOOKUP(A75,'PE porfolio names final'!A:A,'PE porfolio names final'!C:C,"")),IF(_xlpm.L=0,"",_xlpm.L))</f>
        <v>46062</v>
      </c>
      <c r="E75" s="19">
        <f>_xlfn.LET(_xlpm.d,IFERROR(_xlfn.XLOOKUP(A75,'PE names final'!A:A,'PE names final'!D:D),_xlfn.XLOOKUP(A75,'PE porfolio names final'!A:A,'PE porfolio names final'!D:D,"")),IF(_xlpm.d=0,"",IF(_xlpm.d&lt;D75,"Error",_xlpm.d)))</f>
        <v>46120</v>
      </c>
      <c r="F75" s="19">
        <f t="shared" si="10"/>
        <v>46076</v>
      </c>
      <c r="G75" s="19">
        <f t="shared" si="9"/>
        <v>46090</v>
      </c>
      <c r="H75" s="19">
        <f t="shared" si="9"/>
        <v>46104</v>
      </c>
      <c r="I75" s="19">
        <f t="shared" si="9"/>
        <v>46118</v>
      </c>
      <c r="J75" s="27" t="str">
        <f t="shared" ca="1" si="14"/>
        <v>Done</v>
      </c>
      <c r="K75" s="18" t="str">
        <f t="shared" ca="1" si="11"/>
        <v>Done</v>
      </c>
      <c r="L75" s="18" t="str">
        <f t="shared" ca="1" si="12"/>
        <v>Done</v>
      </c>
      <c r="M75" s="28" t="str">
        <f t="shared" ca="1" si="13"/>
        <v>Done</v>
      </c>
    </row>
    <row r="76" spans="1:13" x14ac:dyDescent="0.3">
      <c r="A76" s="27" t="s">
        <v>436</v>
      </c>
      <c r="B76" s="18" t="str">
        <f>IF(COUNTIF('PE names final'!A:A, A76)+COUNTIF('PE porfolio names final'!A:A,A76)=1, "Yes", "Error")</f>
        <v>Yes</v>
      </c>
      <c r="C76" s="18" t="str" cm="1">
        <f t="array" ref="C76">_xlfn.IFS(AND(COUNTIF('PE names final'!A:A,A76)&gt;0,COUNTIF('PE porfolio names final'!A:A,A76)&gt;0),"PE &amp; Portfolio",COUNTIF('PE names final'!A:A,A76)&gt;0,"PE",COUNTIF('PE porfolio names final'!A:A,A76)&gt;0,"Portfolio",TRUE,"")</f>
        <v>Portfolio</v>
      </c>
      <c r="D76" s="19">
        <f>_xlfn.LET(_xlpm.L,IFERROR(_xlfn.XLOOKUP(A76,'PE names final'!A:A,'PE names final'!C:C),_xlfn.XLOOKUP(A76,'PE porfolio names final'!A:A,'PE porfolio names final'!C:C,"")),IF(_xlpm.L=0,"",_xlpm.L))</f>
        <v>46062</v>
      </c>
      <c r="E76" s="19">
        <f>_xlfn.LET(_xlpm.d,IFERROR(_xlfn.XLOOKUP(A76,'PE names final'!A:A,'PE names final'!D:D),_xlfn.XLOOKUP(A76,'PE porfolio names final'!A:A,'PE porfolio names final'!D:D,"")),IF(_xlpm.d=0,"",IF(_xlpm.d&lt;D76,"Error",_xlpm.d)))</f>
        <v>46120</v>
      </c>
      <c r="F76" s="19">
        <f t="shared" si="10"/>
        <v>46076</v>
      </c>
      <c r="G76" s="19">
        <f t="shared" si="9"/>
        <v>46090</v>
      </c>
      <c r="H76" s="19">
        <f t="shared" si="9"/>
        <v>46104</v>
      </c>
      <c r="I76" s="19">
        <f t="shared" si="9"/>
        <v>46118</v>
      </c>
      <c r="J76" s="27" t="str">
        <f t="shared" ca="1" si="14"/>
        <v>Done</v>
      </c>
      <c r="K76" s="18" t="str">
        <f t="shared" ca="1" si="11"/>
        <v>Done</v>
      </c>
      <c r="L76" s="18" t="str">
        <f t="shared" ca="1" si="12"/>
        <v>Done</v>
      </c>
      <c r="M76" s="28" t="str">
        <f t="shared" ca="1" si="13"/>
        <v>Done</v>
      </c>
    </row>
    <row r="77" spans="1:13" x14ac:dyDescent="0.3">
      <c r="A77" s="27" t="s">
        <v>442</v>
      </c>
      <c r="B77" s="18" t="str">
        <f>IF(COUNTIF('PE names final'!A:A, A77)+COUNTIF('PE porfolio names final'!A:A,A77)=1, "Yes", "Error")</f>
        <v>Yes</v>
      </c>
      <c r="C77" s="18" t="str" cm="1">
        <f t="array" ref="C77">_xlfn.IFS(AND(COUNTIF('PE names final'!A:A,A77)&gt;0,COUNTIF('PE porfolio names final'!A:A,A77)&gt;0),"PE &amp; Portfolio",COUNTIF('PE names final'!A:A,A77)&gt;0,"PE",COUNTIF('PE porfolio names final'!A:A,A77)&gt;0,"Portfolio",TRUE,"")</f>
        <v>Portfolio</v>
      </c>
      <c r="D77" s="19">
        <f>_xlfn.LET(_xlpm.L,IFERROR(_xlfn.XLOOKUP(A77,'PE names final'!A:A,'PE names final'!C:C),_xlfn.XLOOKUP(A77,'PE porfolio names final'!A:A,'PE porfolio names final'!C:C,"")),IF(_xlpm.L=0,"",_xlpm.L))</f>
        <v>46062</v>
      </c>
      <c r="E77" s="19">
        <f>_xlfn.LET(_xlpm.d,IFERROR(_xlfn.XLOOKUP(A77,'PE names final'!A:A,'PE names final'!D:D),_xlfn.XLOOKUP(A77,'PE porfolio names final'!A:A,'PE porfolio names final'!D:D,"")),IF(_xlpm.d=0,"",IF(_xlpm.d&lt;D77,"Error",_xlpm.d)))</f>
        <v>46120</v>
      </c>
      <c r="F77" s="19">
        <f t="shared" si="10"/>
        <v>46076</v>
      </c>
      <c r="G77" s="19">
        <f t="shared" si="9"/>
        <v>46090</v>
      </c>
      <c r="H77" s="19">
        <f t="shared" si="9"/>
        <v>46104</v>
      </c>
      <c r="I77" s="19">
        <f t="shared" si="9"/>
        <v>46118</v>
      </c>
      <c r="J77" s="27" t="str">
        <f t="shared" ca="1" si="14"/>
        <v>Done</v>
      </c>
      <c r="K77" s="18" t="str">
        <f t="shared" ca="1" si="11"/>
        <v>Done</v>
      </c>
      <c r="L77" s="18" t="str">
        <f t="shared" ca="1" si="12"/>
        <v>Done</v>
      </c>
      <c r="M77" s="28" t="str">
        <f t="shared" ca="1" si="13"/>
        <v>Done</v>
      </c>
    </row>
    <row r="78" spans="1:13" x14ac:dyDescent="0.3">
      <c r="A78" s="27" t="s">
        <v>447</v>
      </c>
      <c r="B78" s="18" t="str">
        <f>IF(COUNTIF('PE names final'!A:A, A78)+COUNTIF('PE porfolio names final'!A:A,A78)=1, "Yes", "Error")</f>
        <v>Yes</v>
      </c>
      <c r="C78" s="18" t="str" cm="1">
        <f t="array" ref="C78">_xlfn.IFS(AND(COUNTIF('PE names final'!A:A,A78)&gt;0,COUNTIF('PE porfolio names final'!A:A,A78)&gt;0),"PE &amp; Portfolio",COUNTIF('PE names final'!A:A,A78)&gt;0,"PE",COUNTIF('PE porfolio names final'!A:A,A78)&gt;0,"Portfolio",TRUE,"")</f>
        <v>Portfolio</v>
      </c>
      <c r="D78" s="19">
        <f>_xlfn.LET(_xlpm.L,IFERROR(_xlfn.XLOOKUP(A78,'PE names final'!A:A,'PE names final'!C:C),_xlfn.XLOOKUP(A78,'PE porfolio names final'!A:A,'PE porfolio names final'!C:C,"")),IF(_xlpm.L=0,"",_xlpm.L))</f>
        <v>46062</v>
      </c>
      <c r="E78" s="19" t="str">
        <f>_xlfn.LET(_xlpm.d,IFERROR(_xlfn.XLOOKUP(A78,'PE names final'!A:A,'PE names final'!D:D),_xlfn.XLOOKUP(A78,'PE porfolio names final'!A:A,'PE porfolio names final'!D:D,"")),IF(_xlpm.d=0,"",IF(_xlpm.d&lt;D78,"Error",_xlpm.d)))</f>
        <v>Got response</v>
      </c>
      <c r="F78" s="19" t="str">
        <f t="shared" si="10"/>
        <v/>
      </c>
      <c r="G78" s="19" t="str">
        <f t="shared" si="9"/>
        <v/>
      </c>
      <c r="H78" s="19" t="str">
        <f t="shared" si="9"/>
        <v/>
      </c>
      <c r="I78" s="19" t="str">
        <f t="shared" si="9"/>
        <v/>
      </c>
      <c r="J78" s="27" t="str">
        <f t="shared" ca="1" si="14"/>
        <v/>
      </c>
      <c r="K78" s="18" t="str">
        <f t="shared" ca="1" si="11"/>
        <v/>
      </c>
      <c r="L78" s="18" t="str">
        <f t="shared" ca="1" si="12"/>
        <v/>
      </c>
      <c r="M78" s="28" t="str">
        <f t="shared" ca="1" si="13"/>
        <v/>
      </c>
    </row>
    <row r="79" spans="1:13" x14ac:dyDescent="0.3">
      <c r="A79" s="27" t="s">
        <v>455</v>
      </c>
      <c r="B79" s="18" t="str">
        <f>IF(COUNTIF('PE names final'!A:A, A79)+COUNTIF('PE porfolio names final'!A:A,A79)=1, "Yes", "Error")</f>
        <v>Yes</v>
      </c>
      <c r="C79" s="18" t="str" cm="1">
        <f t="array" ref="C79">_xlfn.IFS(AND(COUNTIF('PE names final'!A:A,A79)&gt;0,COUNTIF('PE porfolio names final'!A:A,A79)&gt;0),"PE &amp; Portfolio",COUNTIF('PE names final'!A:A,A79)&gt;0,"PE",COUNTIF('PE porfolio names final'!A:A,A79)&gt;0,"Portfolio",TRUE,"")</f>
        <v>Portfolio</v>
      </c>
      <c r="D79" s="19">
        <f>_xlfn.LET(_xlpm.L,IFERROR(_xlfn.XLOOKUP(A79,'PE names final'!A:A,'PE names final'!C:C),_xlfn.XLOOKUP(A79,'PE porfolio names final'!A:A,'PE porfolio names final'!C:C,"")),IF(_xlpm.L=0,"",_xlpm.L))</f>
        <v>46064</v>
      </c>
      <c r="E79" s="19">
        <f>_xlfn.LET(_xlpm.d,IFERROR(_xlfn.XLOOKUP(A79,'PE names final'!A:A,'PE names final'!D:D),_xlfn.XLOOKUP(A79,'PE porfolio names final'!A:A,'PE porfolio names final'!D:D,"")),IF(_xlpm.d=0,"",IF(_xlpm.d&lt;D79,"Error",_xlpm.d)))</f>
        <v>46120</v>
      </c>
      <c r="F79" s="19">
        <f t="shared" si="10"/>
        <v>46078</v>
      </c>
      <c r="G79" s="19">
        <f t="shared" si="9"/>
        <v>46092</v>
      </c>
      <c r="H79" s="19">
        <f t="shared" si="9"/>
        <v>46106</v>
      </c>
      <c r="I79" s="19">
        <f t="shared" si="9"/>
        <v>46120</v>
      </c>
      <c r="J79" s="27" t="str">
        <f t="shared" ca="1" si="14"/>
        <v>Done</v>
      </c>
      <c r="K79" s="18" t="str">
        <f t="shared" ca="1" si="11"/>
        <v>Done</v>
      </c>
      <c r="L79" s="18" t="str">
        <f t="shared" ca="1" si="12"/>
        <v>Done</v>
      </c>
      <c r="M79" s="28" t="str">
        <f t="shared" ca="1" si="13"/>
        <v>Done</v>
      </c>
    </row>
    <row r="80" spans="1:13" x14ac:dyDescent="0.3">
      <c r="A80" s="27" t="s">
        <v>463</v>
      </c>
      <c r="B80" s="18" t="str">
        <f>IF(COUNTIF('PE names final'!A:A, A80)+COUNTIF('PE porfolio names final'!A:A,A80)=1, "Yes", "Error")</f>
        <v>Yes</v>
      </c>
      <c r="C80" s="18" t="str" cm="1">
        <f t="array" ref="C80">_xlfn.IFS(AND(COUNTIF('PE names final'!A:A,A80)&gt;0,COUNTIF('PE porfolio names final'!A:A,A80)&gt;0),"PE &amp; Portfolio",COUNTIF('PE names final'!A:A,A80)&gt;0,"PE",COUNTIF('PE porfolio names final'!A:A,A80)&gt;0,"Portfolio",TRUE,"")</f>
        <v>Portfolio</v>
      </c>
      <c r="D80" s="19">
        <f>_xlfn.LET(_xlpm.L,IFERROR(_xlfn.XLOOKUP(A80,'PE names final'!A:A,'PE names final'!C:C),_xlfn.XLOOKUP(A80,'PE porfolio names final'!A:A,'PE porfolio names final'!C:C,"")),IF(_xlpm.L=0,"",_xlpm.L))</f>
        <v>46064</v>
      </c>
      <c r="E80" s="19">
        <f>_xlfn.LET(_xlpm.d,IFERROR(_xlfn.XLOOKUP(A80,'PE names final'!A:A,'PE names final'!D:D),_xlfn.XLOOKUP(A80,'PE porfolio names final'!A:A,'PE porfolio names final'!D:D,"")),IF(_xlpm.d=0,"",IF(_xlpm.d&lt;D80,"Error",_xlpm.d)))</f>
        <v>46120</v>
      </c>
      <c r="F80" s="19">
        <f t="shared" si="10"/>
        <v>46078</v>
      </c>
      <c r="G80" s="19">
        <f t="shared" si="9"/>
        <v>46092</v>
      </c>
      <c r="H80" s="19">
        <f t="shared" si="9"/>
        <v>46106</v>
      </c>
      <c r="I80" s="19">
        <f t="shared" si="9"/>
        <v>46120</v>
      </c>
      <c r="J80" s="27" t="str">
        <f t="shared" ca="1" si="14"/>
        <v>Done</v>
      </c>
      <c r="K80" s="18" t="str">
        <f t="shared" ca="1" si="11"/>
        <v>Done</v>
      </c>
      <c r="L80" s="18" t="str">
        <f t="shared" ca="1" si="12"/>
        <v>Done</v>
      </c>
      <c r="M80" s="28" t="str">
        <f t="shared" ca="1" si="13"/>
        <v>Done</v>
      </c>
    </row>
    <row r="81" spans="1:13" x14ac:dyDescent="0.3">
      <c r="A81" s="27" t="s">
        <v>468</v>
      </c>
      <c r="B81" s="18" t="str">
        <f>IF(COUNTIF('PE names final'!A:A, A81)+COUNTIF('PE porfolio names final'!A:A,A81)=1, "Yes", "Error")</f>
        <v>Yes</v>
      </c>
      <c r="C81" s="18" t="str" cm="1">
        <f t="array" ref="C81">_xlfn.IFS(AND(COUNTIF('PE names final'!A:A,A81)&gt;0,COUNTIF('PE porfolio names final'!A:A,A81)&gt;0),"PE &amp; Portfolio",COUNTIF('PE names final'!A:A,A81)&gt;0,"PE",COUNTIF('PE porfolio names final'!A:A,A81)&gt;0,"Portfolio",TRUE,"")</f>
        <v>Portfolio</v>
      </c>
      <c r="D81" s="19">
        <f>_xlfn.LET(_xlpm.L,IFERROR(_xlfn.XLOOKUP(A81,'PE names final'!A:A,'PE names final'!C:C),_xlfn.XLOOKUP(A81,'PE porfolio names final'!A:A,'PE porfolio names final'!C:C,"")),IF(_xlpm.L=0,"",_xlpm.L))</f>
        <v>46064</v>
      </c>
      <c r="E81" s="19" t="str">
        <f>_xlfn.LET(_xlpm.d,IFERROR(_xlfn.XLOOKUP(A81,'PE names final'!A:A,'PE names final'!D:D),_xlfn.XLOOKUP(A81,'PE porfolio names final'!A:A,'PE porfolio names final'!D:D,"")),IF(_xlpm.d=0,"",IF(_xlpm.d&lt;D81,"Error",_xlpm.d)))</f>
        <v>Vishnu reached out</v>
      </c>
      <c r="F81" s="19" t="str">
        <f t="shared" si="10"/>
        <v/>
      </c>
      <c r="G81" s="19" t="str">
        <f t="shared" si="9"/>
        <v/>
      </c>
      <c r="H81" s="19" t="str">
        <f t="shared" si="9"/>
        <v/>
      </c>
      <c r="I81" s="19" t="str">
        <f t="shared" si="9"/>
        <v/>
      </c>
      <c r="J81" s="27" t="str">
        <f t="shared" ca="1" si="14"/>
        <v/>
      </c>
      <c r="K81" s="18" t="str">
        <f t="shared" ca="1" si="11"/>
        <v/>
      </c>
      <c r="L81" s="18" t="str">
        <f t="shared" ca="1" si="12"/>
        <v/>
      </c>
      <c r="M81" s="28" t="str">
        <f t="shared" ca="1" si="13"/>
        <v/>
      </c>
    </row>
    <row r="82" spans="1:13" x14ac:dyDescent="0.3">
      <c r="A82" s="27" t="s">
        <v>473</v>
      </c>
      <c r="B82" s="18" t="str">
        <f>IF(COUNTIF('PE names final'!A:A, A82)+COUNTIF('PE porfolio names final'!A:A,A82)=1, "Yes", "Error")</f>
        <v>Yes</v>
      </c>
      <c r="C82" s="18" t="str" cm="1">
        <f t="array" ref="C82">_xlfn.IFS(AND(COUNTIF('PE names final'!A:A,A82)&gt;0,COUNTIF('PE porfolio names final'!A:A,A82)&gt;0),"PE &amp; Portfolio",COUNTIF('PE names final'!A:A,A82)&gt;0,"PE",COUNTIF('PE porfolio names final'!A:A,A82)&gt;0,"Portfolio",TRUE,"")</f>
        <v>Portfolio</v>
      </c>
      <c r="D82" s="19">
        <f>_xlfn.LET(_xlpm.L,IFERROR(_xlfn.XLOOKUP(A82,'PE names final'!A:A,'PE names final'!C:C),_xlfn.XLOOKUP(A82,'PE porfolio names final'!A:A,'PE porfolio names final'!C:C,"")),IF(_xlpm.L=0,"",_xlpm.L))</f>
        <v>46064</v>
      </c>
      <c r="E82" s="19" t="str">
        <f>_xlfn.LET(_xlpm.d,IFERROR(_xlfn.XLOOKUP(A82,'PE names final'!A:A,'PE names final'!D:D),_xlfn.XLOOKUP(A82,'PE porfolio names final'!A:A,'PE porfolio names final'!D:D,"")),IF(_xlpm.d=0,"",IF(_xlpm.d&lt;D82,"Error",_xlpm.d)))</f>
        <v>Got response</v>
      </c>
      <c r="F82" s="19" t="str">
        <f t="shared" si="10"/>
        <v/>
      </c>
      <c r="G82" s="19" t="str">
        <f t="shared" si="9"/>
        <v/>
      </c>
      <c r="H82" s="19" t="str">
        <f t="shared" si="9"/>
        <v/>
      </c>
      <c r="I82" s="19" t="str">
        <f t="shared" si="9"/>
        <v/>
      </c>
      <c r="J82" s="27" t="str">
        <f t="shared" ca="1" si="14"/>
        <v/>
      </c>
      <c r="K82" s="18" t="str">
        <f t="shared" ca="1" si="11"/>
        <v/>
      </c>
      <c r="L82" s="18" t="str">
        <f t="shared" ca="1" si="12"/>
        <v/>
      </c>
      <c r="M82" s="28" t="str">
        <f t="shared" ca="1" si="13"/>
        <v/>
      </c>
    </row>
    <row r="83" spans="1:13" x14ac:dyDescent="0.3">
      <c r="A83" s="27" t="s">
        <v>479</v>
      </c>
      <c r="B83" s="18" t="str">
        <f>IF(COUNTIF('PE names final'!A:A, A83)+COUNTIF('PE porfolio names final'!A:A,A83)=1, "Yes", "Error")</f>
        <v>Yes</v>
      </c>
      <c r="C83" s="18" t="str" cm="1">
        <f t="array" ref="C83">_xlfn.IFS(AND(COUNTIF('PE names final'!A:A,A83)&gt;0,COUNTIF('PE porfolio names final'!A:A,A83)&gt;0),"PE &amp; Portfolio",COUNTIF('PE names final'!A:A,A83)&gt;0,"PE",COUNTIF('PE porfolio names final'!A:A,A83)&gt;0,"Portfolio",TRUE,"")</f>
        <v>Portfolio</v>
      </c>
      <c r="D83" s="19">
        <f>_xlfn.LET(_xlpm.L,IFERROR(_xlfn.XLOOKUP(A83,'PE names final'!A:A,'PE names final'!C:C),_xlfn.XLOOKUP(A83,'PE porfolio names final'!A:A,'PE porfolio names final'!C:C,"")),IF(_xlpm.L=0,"",_xlpm.L))</f>
        <v>46064</v>
      </c>
      <c r="E83" s="19" t="str">
        <f>_xlfn.LET(_xlpm.d,IFERROR(_xlfn.XLOOKUP(A83,'PE names final'!A:A,'PE names final'!D:D),_xlfn.XLOOKUP(A83,'PE porfolio names final'!A:A,'PE porfolio names final'!D:D,"")),IF(_xlpm.d=0,"",IF(_xlpm.d&lt;D83,"Error",_xlpm.d)))</f>
        <v>Got response</v>
      </c>
      <c r="F83" s="19" t="str">
        <f t="shared" si="10"/>
        <v/>
      </c>
      <c r="G83" s="19" t="str">
        <f t="shared" si="9"/>
        <v/>
      </c>
      <c r="H83" s="19" t="str">
        <f t="shared" si="9"/>
        <v/>
      </c>
      <c r="I83" s="19" t="str">
        <f t="shared" si="9"/>
        <v/>
      </c>
      <c r="J83" s="27" t="str">
        <f t="shared" ca="1" si="14"/>
        <v/>
      </c>
      <c r="K83" s="18" t="str">
        <f t="shared" ca="1" si="11"/>
        <v/>
      </c>
      <c r="L83" s="18" t="str">
        <f t="shared" ca="1" si="12"/>
        <v/>
      </c>
      <c r="M83" s="28" t="str">
        <f t="shared" ca="1" si="13"/>
        <v/>
      </c>
    </row>
    <row r="84" spans="1:13" x14ac:dyDescent="0.3">
      <c r="A84" s="27" t="s">
        <v>849</v>
      </c>
      <c r="B84" s="18" t="str">
        <f>IF(COUNTIF('PE names final'!A:A, A84)+COUNTIF('PE porfolio names final'!A:A,A84)=1, "Yes", "Error")</f>
        <v>Yes</v>
      </c>
      <c r="C84" s="18" t="str" cm="1">
        <f t="array" ref="C84">_xlfn.IFS(AND(COUNTIF('PE names final'!A:A,A84)&gt;0,COUNTIF('PE porfolio names final'!A:A,A84)&gt;0),"PE &amp; Portfolio",COUNTIF('PE names final'!A:A,A84)&gt;0,"PE",COUNTIF('PE porfolio names final'!A:A,A84)&gt;0,"Portfolio",TRUE,"")</f>
        <v>Portfolio</v>
      </c>
      <c r="D84" s="19">
        <f>_xlfn.LET(_xlpm.L,IFERROR(_xlfn.XLOOKUP(A84,'PE names final'!A:A,'PE names final'!C:C),_xlfn.XLOOKUP(A84,'PE porfolio names final'!A:A,'PE porfolio names final'!C:C,"")),IF(_xlpm.L=0,"",_xlpm.L))</f>
        <v>46064</v>
      </c>
      <c r="E84" s="19" t="str">
        <f>_xlfn.LET(_xlpm.d,IFERROR(_xlfn.XLOOKUP(A84,'PE names final'!A:A,'PE names final'!D:D),_xlfn.XLOOKUP(A84,'PE porfolio names final'!A:A,'PE porfolio names final'!D:D,"")),IF(_xlpm.d=0,"",IF(_xlpm.d&lt;D84,"Error",_xlpm.d)))</f>
        <v>Got response</v>
      </c>
      <c r="F84" s="19" t="str">
        <f t="shared" si="10"/>
        <v/>
      </c>
      <c r="G84" s="19" t="str">
        <f t="shared" si="9"/>
        <v/>
      </c>
      <c r="H84" s="19" t="str">
        <f t="shared" si="9"/>
        <v/>
      </c>
      <c r="I84" s="19" t="str">
        <f t="shared" si="9"/>
        <v/>
      </c>
      <c r="J84" s="27" t="str">
        <f t="shared" ca="1" si="14"/>
        <v/>
      </c>
      <c r="K84" s="18" t="str">
        <f t="shared" ca="1" si="11"/>
        <v/>
      </c>
      <c r="L84" s="18" t="str">
        <f t="shared" ca="1" si="12"/>
        <v/>
      </c>
      <c r="M84" s="28" t="str">
        <f t="shared" ca="1" si="13"/>
        <v/>
      </c>
    </row>
    <row r="85" spans="1:13" x14ac:dyDescent="0.3">
      <c r="A85" s="27" t="s">
        <v>488</v>
      </c>
      <c r="B85" s="18" t="str">
        <f>IF(COUNTIF('PE names final'!A:A, A85)+COUNTIF('PE porfolio names final'!A:A,A85)=1, "Yes", "Error")</f>
        <v>Yes</v>
      </c>
      <c r="C85" s="18" t="str" cm="1">
        <f t="array" ref="C85">_xlfn.IFS(AND(COUNTIF('PE names final'!A:A,A85)&gt;0,COUNTIF('PE porfolio names final'!A:A,A85)&gt;0),"PE &amp; Portfolio",COUNTIF('PE names final'!A:A,A85)&gt;0,"PE",COUNTIF('PE porfolio names final'!A:A,A85)&gt;0,"Portfolio",TRUE,"")</f>
        <v>Portfolio</v>
      </c>
      <c r="D85" s="19">
        <f>_xlfn.LET(_xlpm.L,IFERROR(_xlfn.XLOOKUP(A85,'PE names final'!A:A,'PE names final'!C:C),_xlfn.XLOOKUP(A85,'PE porfolio names final'!A:A,'PE porfolio names final'!C:C,"")),IF(_xlpm.L=0,"",_xlpm.L))</f>
        <v>46064</v>
      </c>
      <c r="E85" s="19" t="str">
        <f>_xlfn.LET(_xlpm.d,IFERROR(_xlfn.XLOOKUP(A85,'PE names final'!A:A,'PE names final'!D:D),_xlfn.XLOOKUP(A85,'PE porfolio names final'!A:A,'PE porfolio names final'!D:D,"")),IF(_xlpm.d=0,"",IF(_xlpm.d&lt;D85,"Error",_xlpm.d)))</f>
        <v>Got response from PE</v>
      </c>
      <c r="F85" s="19" t="str">
        <f t="shared" si="10"/>
        <v/>
      </c>
      <c r="G85" s="19" t="str">
        <f t="shared" si="9"/>
        <v/>
      </c>
      <c r="H85" s="19" t="str">
        <f t="shared" si="9"/>
        <v/>
      </c>
      <c r="I85" s="19" t="str">
        <f t="shared" si="9"/>
        <v/>
      </c>
      <c r="J85" s="27" t="str">
        <f t="shared" ca="1" si="14"/>
        <v/>
      </c>
      <c r="K85" s="18" t="str">
        <f t="shared" ca="1" si="11"/>
        <v/>
      </c>
      <c r="L85" s="18" t="str">
        <f t="shared" ca="1" si="12"/>
        <v/>
      </c>
      <c r="M85" s="28" t="str">
        <f t="shared" ca="1" si="13"/>
        <v/>
      </c>
    </row>
    <row r="86" spans="1:13" x14ac:dyDescent="0.3">
      <c r="A86" s="27" t="s">
        <v>493</v>
      </c>
      <c r="B86" s="18" t="str">
        <f>IF(COUNTIF('PE names final'!A:A, A86)+COUNTIF('PE porfolio names final'!A:A,A86)=1, "Yes", "Error")</f>
        <v>Yes</v>
      </c>
      <c r="C86" s="18" t="str" cm="1">
        <f t="array" ref="C86">_xlfn.IFS(AND(COUNTIF('PE names final'!A:A,A86)&gt;0,COUNTIF('PE porfolio names final'!A:A,A86)&gt;0),"PE &amp; Portfolio",COUNTIF('PE names final'!A:A,A86)&gt;0,"PE",COUNTIF('PE porfolio names final'!A:A,A86)&gt;0,"Portfolio",TRUE,"")</f>
        <v>Portfolio</v>
      </c>
      <c r="D86" s="19">
        <f>_xlfn.LET(_xlpm.L,IFERROR(_xlfn.XLOOKUP(A86,'PE names final'!A:A,'PE names final'!C:C),_xlfn.XLOOKUP(A86,'PE porfolio names final'!A:A,'PE porfolio names final'!C:C,"")),IF(_xlpm.L=0,"",_xlpm.L))</f>
        <v>46064</v>
      </c>
      <c r="E86" s="19">
        <f>_xlfn.LET(_xlpm.d,IFERROR(_xlfn.XLOOKUP(A86,'PE names final'!A:A,'PE names final'!D:D),_xlfn.XLOOKUP(A86,'PE porfolio names final'!A:A,'PE porfolio names final'!D:D,"")),IF(_xlpm.d=0,"",IF(_xlpm.d&lt;D86,"Error",_xlpm.d)))</f>
        <v>46120</v>
      </c>
      <c r="F86" s="19">
        <f t="shared" si="10"/>
        <v>46078</v>
      </c>
      <c r="G86" s="19">
        <f t="shared" si="9"/>
        <v>46092</v>
      </c>
      <c r="H86" s="19">
        <f t="shared" si="9"/>
        <v>46106</v>
      </c>
      <c r="I86" s="19">
        <f t="shared" si="9"/>
        <v>46120</v>
      </c>
      <c r="J86" s="27" t="str">
        <f t="shared" ca="1" si="14"/>
        <v>Done</v>
      </c>
      <c r="K86" s="18" t="str">
        <f t="shared" ca="1" si="11"/>
        <v>Done</v>
      </c>
      <c r="L86" s="18" t="str">
        <f t="shared" ca="1" si="12"/>
        <v>Done</v>
      </c>
      <c r="M86" s="28" t="str">
        <f t="shared" ca="1" si="13"/>
        <v>Done</v>
      </c>
    </row>
    <row r="87" spans="1:13" x14ac:dyDescent="0.3">
      <c r="A87" s="27" t="s">
        <v>498</v>
      </c>
      <c r="B87" s="18" t="str">
        <f>IF(COUNTIF('PE names final'!A:A, A87)+COUNTIF('PE porfolio names final'!A:A,A87)=1, "Yes", "Error")</f>
        <v>Yes</v>
      </c>
      <c r="C87" s="18" t="str" cm="1">
        <f t="array" ref="C87">_xlfn.IFS(AND(COUNTIF('PE names final'!A:A,A87)&gt;0,COUNTIF('PE porfolio names final'!A:A,A87)&gt;0),"PE &amp; Portfolio",COUNTIF('PE names final'!A:A,A87)&gt;0,"PE",COUNTIF('PE porfolio names final'!A:A,A87)&gt;0,"Portfolio",TRUE,"")</f>
        <v>Portfolio</v>
      </c>
      <c r="D87" s="19">
        <f>_xlfn.LET(_xlpm.L,IFERROR(_xlfn.XLOOKUP(A87,'PE names final'!A:A,'PE names final'!C:C),_xlfn.XLOOKUP(A87,'PE porfolio names final'!A:A,'PE porfolio names final'!C:C,"")),IF(_xlpm.L=0,"",_xlpm.L))</f>
        <v>46064</v>
      </c>
      <c r="E87" s="19">
        <f>_xlfn.LET(_xlpm.d,IFERROR(_xlfn.XLOOKUP(A87,'PE names final'!A:A,'PE names final'!D:D),_xlfn.XLOOKUP(A87,'PE porfolio names final'!A:A,'PE porfolio names final'!D:D,"")),IF(_xlpm.d=0,"",IF(_xlpm.d&lt;D87,"Error",_xlpm.d)))</f>
        <v>46120</v>
      </c>
      <c r="F87" s="19">
        <f t="shared" si="10"/>
        <v>46078</v>
      </c>
      <c r="G87" s="19">
        <f t="shared" ref="G87:I106" si="15">IF(ISNUMBER($E87),F87+14,"")</f>
        <v>46092</v>
      </c>
      <c r="H87" s="19">
        <f t="shared" si="15"/>
        <v>46106</v>
      </c>
      <c r="I87" s="19">
        <f t="shared" si="15"/>
        <v>46120</v>
      </c>
      <c r="J87" s="27" t="str">
        <f t="shared" ca="1" si="14"/>
        <v>Done</v>
      </c>
      <c r="K87" s="18" t="str">
        <f t="shared" ca="1" si="11"/>
        <v>Done</v>
      </c>
      <c r="L87" s="18" t="str">
        <f t="shared" ca="1" si="12"/>
        <v>Done</v>
      </c>
      <c r="M87" s="28" t="str">
        <f t="shared" ca="1" si="13"/>
        <v>Done</v>
      </c>
    </row>
    <row r="88" spans="1:13" x14ac:dyDescent="0.3">
      <c r="A88" s="27" t="s">
        <v>503</v>
      </c>
      <c r="B88" s="18" t="str">
        <f>IF(COUNTIF('PE names final'!A:A, A88)+COUNTIF('PE porfolio names final'!A:A,A88)=1, "Yes", "Error")</f>
        <v>Yes</v>
      </c>
      <c r="C88" s="18" t="str" cm="1">
        <f t="array" ref="C88">_xlfn.IFS(AND(COUNTIF('PE names final'!A:A,A88)&gt;0,COUNTIF('PE porfolio names final'!A:A,A88)&gt;0),"PE &amp; Portfolio",COUNTIF('PE names final'!A:A,A88)&gt;0,"PE",COUNTIF('PE porfolio names final'!A:A,A88)&gt;0,"Portfolio",TRUE,"")</f>
        <v>Portfolio</v>
      </c>
      <c r="D88" s="19">
        <f>_xlfn.LET(_xlpm.L,IFERROR(_xlfn.XLOOKUP(A88,'PE names final'!A:A,'PE names final'!C:C),_xlfn.XLOOKUP(A88,'PE porfolio names final'!A:A,'PE porfolio names final'!C:C,"")),IF(_xlpm.L=0,"",_xlpm.L))</f>
        <v>46064</v>
      </c>
      <c r="E88" s="19">
        <f>_xlfn.LET(_xlpm.d,IFERROR(_xlfn.XLOOKUP(A88,'PE names final'!A:A,'PE names final'!D:D),_xlfn.XLOOKUP(A88,'PE porfolio names final'!A:A,'PE porfolio names final'!D:D,"")),IF(_xlpm.d=0,"",IF(_xlpm.d&lt;D88,"Error",_xlpm.d)))</f>
        <v>46120</v>
      </c>
      <c r="F88" s="19">
        <f t="shared" si="10"/>
        <v>46078</v>
      </c>
      <c r="G88" s="19">
        <f t="shared" si="15"/>
        <v>46092</v>
      </c>
      <c r="H88" s="19">
        <f t="shared" si="15"/>
        <v>46106</v>
      </c>
      <c r="I88" s="19">
        <f t="shared" si="15"/>
        <v>46120</v>
      </c>
      <c r="J88" s="27" t="str">
        <f t="shared" ca="1" si="14"/>
        <v>Done</v>
      </c>
      <c r="K88" s="18" t="str">
        <f t="shared" ca="1" si="11"/>
        <v>Done</v>
      </c>
      <c r="L88" s="18" t="str">
        <f t="shared" ca="1" si="12"/>
        <v>Done</v>
      </c>
      <c r="M88" s="28" t="str">
        <f t="shared" ca="1" si="13"/>
        <v>Done</v>
      </c>
    </row>
    <row r="89" spans="1:13" x14ac:dyDescent="0.3">
      <c r="A89" s="27" t="s">
        <v>508</v>
      </c>
      <c r="B89" s="18" t="str">
        <f>IF(COUNTIF('PE names final'!A:A, A89)+COUNTIF('PE porfolio names final'!A:A,A89)=1, "Yes", "Error")</f>
        <v>Yes</v>
      </c>
      <c r="C89" s="18" t="str" cm="1">
        <f t="array" ref="C89">_xlfn.IFS(AND(COUNTIF('PE names final'!A:A,A89)&gt;0,COUNTIF('PE porfolio names final'!A:A,A89)&gt;0),"PE &amp; Portfolio",COUNTIF('PE names final'!A:A,A89)&gt;0,"PE",COUNTIF('PE porfolio names final'!A:A,A89)&gt;0,"Portfolio",TRUE,"")</f>
        <v>Portfolio</v>
      </c>
      <c r="D89" s="19">
        <f>_xlfn.LET(_xlpm.L,IFERROR(_xlfn.XLOOKUP(A89,'PE names final'!A:A,'PE names final'!C:C),_xlfn.XLOOKUP(A89,'PE porfolio names final'!A:A,'PE porfolio names final'!C:C,"")),IF(_xlpm.L=0,"",_xlpm.L))</f>
        <v>46064</v>
      </c>
      <c r="E89" s="19">
        <f>_xlfn.LET(_xlpm.d,IFERROR(_xlfn.XLOOKUP(A89,'PE names final'!A:A,'PE names final'!D:D),_xlfn.XLOOKUP(A89,'PE porfolio names final'!A:A,'PE porfolio names final'!D:D,"")),IF(_xlpm.d=0,"",IF(_xlpm.d&lt;D89,"Error",_xlpm.d)))</f>
        <v>46120</v>
      </c>
      <c r="F89" s="19">
        <f t="shared" si="10"/>
        <v>46078</v>
      </c>
      <c r="G89" s="19">
        <f t="shared" si="15"/>
        <v>46092</v>
      </c>
      <c r="H89" s="19">
        <f t="shared" si="15"/>
        <v>46106</v>
      </c>
      <c r="I89" s="19">
        <f t="shared" si="15"/>
        <v>46120</v>
      </c>
      <c r="J89" s="27" t="str">
        <f t="shared" ca="1" si="14"/>
        <v>Done</v>
      </c>
      <c r="K89" s="18" t="str">
        <f t="shared" ca="1" si="11"/>
        <v>Done</v>
      </c>
      <c r="L89" s="18" t="str">
        <f t="shared" ca="1" si="12"/>
        <v>Done</v>
      </c>
      <c r="M89" s="28" t="str">
        <f t="shared" ca="1" si="13"/>
        <v>Done</v>
      </c>
    </row>
    <row r="90" spans="1:13" x14ac:dyDescent="0.3">
      <c r="A90" s="27" t="s">
        <v>513</v>
      </c>
      <c r="B90" s="18" t="str">
        <f>IF(COUNTIF('PE names final'!A:A, A90)+COUNTIF('PE porfolio names final'!A:A,A90)=1, "Yes", "Error")</f>
        <v>Yes</v>
      </c>
      <c r="C90" s="18" t="str" cm="1">
        <f t="array" ref="C90">_xlfn.IFS(AND(COUNTIF('PE names final'!A:A,A90)&gt;0,COUNTIF('PE porfolio names final'!A:A,A90)&gt;0),"PE &amp; Portfolio",COUNTIF('PE names final'!A:A,A90)&gt;0,"PE",COUNTIF('PE porfolio names final'!A:A,A90)&gt;0,"Portfolio",TRUE,"")</f>
        <v>Portfolio</v>
      </c>
      <c r="D90" s="19">
        <f>_xlfn.LET(_xlpm.L,IFERROR(_xlfn.XLOOKUP(A90,'PE names final'!A:A,'PE names final'!C:C),_xlfn.XLOOKUP(A90,'PE porfolio names final'!A:A,'PE porfolio names final'!C:C,"")),IF(_xlpm.L=0,"",_xlpm.L))</f>
        <v>46064</v>
      </c>
      <c r="E90" s="19">
        <f>_xlfn.LET(_xlpm.d,IFERROR(_xlfn.XLOOKUP(A90,'PE names final'!A:A,'PE names final'!D:D),_xlfn.XLOOKUP(A90,'PE porfolio names final'!A:A,'PE porfolio names final'!D:D,"")),IF(_xlpm.d=0,"",IF(_xlpm.d&lt;D90,"Error",_xlpm.d)))</f>
        <v>46120</v>
      </c>
      <c r="F90" s="19">
        <f t="shared" si="10"/>
        <v>46078</v>
      </c>
      <c r="G90" s="19">
        <f t="shared" si="15"/>
        <v>46092</v>
      </c>
      <c r="H90" s="19">
        <f t="shared" si="15"/>
        <v>46106</v>
      </c>
      <c r="I90" s="19">
        <f t="shared" si="15"/>
        <v>46120</v>
      </c>
      <c r="J90" s="27" t="str">
        <f t="shared" ca="1" si="14"/>
        <v>Done</v>
      </c>
      <c r="K90" s="18" t="str">
        <f t="shared" ca="1" si="11"/>
        <v>Done</v>
      </c>
      <c r="L90" s="18" t="str">
        <f t="shared" ca="1" si="12"/>
        <v>Done</v>
      </c>
      <c r="M90" s="28" t="str">
        <f t="shared" ca="1" si="13"/>
        <v>Done</v>
      </c>
    </row>
    <row r="91" spans="1:13" x14ac:dyDescent="0.3">
      <c r="A91" s="27" t="s">
        <v>519</v>
      </c>
      <c r="B91" s="18" t="str">
        <f>IF(COUNTIF('PE names final'!A:A, A91)+COUNTIF('PE porfolio names final'!A:A,A91)=1, "Yes", "Error")</f>
        <v>Yes</v>
      </c>
      <c r="C91" s="18" t="str" cm="1">
        <f t="array" ref="C91">_xlfn.IFS(AND(COUNTIF('PE names final'!A:A,A91)&gt;0,COUNTIF('PE porfolio names final'!A:A,A91)&gt;0),"PE &amp; Portfolio",COUNTIF('PE names final'!A:A,A91)&gt;0,"PE",COUNTIF('PE porfolio names final'!A:A,A91)&gt;0,"Portfolio",TRUE,"")</f>
        <v>Portfolio</v>
      </c>
      <c r="D91" s="19">
        <f>_xlfn.LET(_xlpm.L,IFERROR(_xlfn.XLOOKUP(A91,'PE names final'!A:A,'PE names final'!C:C),_xlfn.XLOOKUP(A91,'PE porfolio names final'!A:A,'PE porfolio names final'!C:C,"")),IF(_xlpm.L=0,"",_xlpm.L))</f>
        <v>46064</v>
      </c>
      <c r="E91" s="19">
        <f>_xlfn.LET(_xlpm.d,IFERROR(_xlfn.XLOOKUP(A91,'PE names final'!A:A,'PE names final'!D:D),_xlfn.XLOOKUP(A91,'PE porfolio names final'!A:A,'PE porfolio names final'!D:D,"")),IF(_xlpm.d=0,"",IF(_xlpm.d&lt;D91,"Error",_xlpm.d)))</f>
        <v>46120</v>
      </c>
      <c r="F91" s="19">
        <f t="shared" si="10"/>
        <v>46078</v>
      </c>
      <c r="G91" s="19">
        <f t="shared" si="15"/>
        <v>46092</v>
      </c>
      <c r="H91" s="19">
        <f t="shared" si="15"/>
        <v>46106</v>
      </c>
      <c r="I91" s="19">
        <f t="shared" si="15"/>
        <v>46120</v>
      </c>
      <c r="J91" s="27" t="str">
        <f t="shared" ca="1" si="14"/>
        <v>Done</v>
      </c>
      <c r="K91" s="18" t="str">
        <f t="shared" ca="1" si="11"/>
        <v>Done</v>
      </c>
      <c r="L91" s="18" t="str">
        <f t="shared" ca="1" si="12"/>
        <v>Done</v>
      </c>
      <c r="M91" s="28" t="str">
        <f t="shared" ca="1" si="13"/>
        <v>Done</v>
      </c>
    </row>
    <row r="92" spans="1:13" x14ac:dyDescent="0.3">
      <c r="A92" s="27" t="s">
        <v>524</v>
      </c>
      <c r="B92" s="18" t="str">
        <f>IF(COUNTIF('PE names final'!A:A, A92)+COUNTIF('PE porfolio names final'!A:A,A92)=1, "Yes", "Error")</f>
        <v>Yes</v>
      </c>
      <c r="C92" s="18" t="str" cm="1">
        <f t="array" ref="C92">_xlfn.IFS(AND(COUNTIF('PE names final'!A:A,A92)&gt;0,COUNTIF('PE porfolio names final'!A:A,A92)&gt;0),"PE &amp; Portfolio",COUNTIF('PE names final'!A:A,A92)&gt;0,"PE",COUNTIF('PE porfolio names final'!A:A,A92)&gt;0,"Portfolio",TRUE,"")</f>
        <v>Portfolio</v>
      </c>
      <c r="D92" s="19">
        <f>_xlfn.LET(_xlpm.L,IFERROR(_xlfn.XLOOKUP(A92,'PE names final'!A:A,'PE names final'!C:C),_xlfn.XLOOKUP(A92,'PE porfolio names final'!A:A,'PE porfolio names final'!C:C,"")),IF(_xlpm.L=0,"",_xlpm.L))</f>
        <v>46064</v>
      </c>
      <c r="E92" s="19" t="str">
        <f>_xlfn.LET(_xlpm.d,IFERROR(_xlfn.XLOOKUP(A92,'PE names final'!A:A,'PE names final'!D:D),_xlfn.XLOOKUP(A92,'PE porfolio names final'!A:A,'PE porfolio names final'!D:D,"")),IF(_xlpm.d=0,"",IF(_xlpm.d&lt;D92,"Error",_xlpm.d)))</f>
        <v>Got response</v>
      </c>
      <c r="F92" s="19" t="str">
        <f t="shared" si="10"/>
        <v/>
      </c>
      <c r="G92" s="19" t="str">
        <f t="shared" si="15"/>
        <v/>
      </c>
      <c r="H92" s="19" t="str">
        <f t="shared" si="15"/>
        <v/>
      </c>
      <c r="I92" s="19" t="str">
        <f t="shared" si="15"/>
        <v/>
      </c>
      <c r="J92" s="27" t="str">
        <f t="shared" ca="1" si="14"/>
        <v/>
      </c>
      <c r="K92" s="18" t="str">
        <f t="shared" ca="1" si="11"/>
        <v/>
      </c>
      <c r="L92" s="18" t="str">
        <f t="shared" ca="1" si="12"/>
        <v/>
      </c>
      <c r="M92" s="28" t="str">
        <f t="shared" ca="1" si="13"/>
        <v/>
      </c>
    </row>
    <row r="93" spans="1:13" x14ac:dyDescent="0.3">
      <c r="A93" s="27" t="s">
        <v>529</v>
      </c>
      <c r="B93" s="18" t="str">
        <f>IF(COUNTIF('PE names final'!A:A, A93)+COUNTIF('PE porfolio names final'!A:A,A93)=1, "Yes", "Error")</f>
        <v>Yes</v>
      </c>
      <c r="C93" s="18" t="str" cm="1">
        <f t="array" ref="C93">_xlfn.IFS(AND(COUNTIF('PE names final'!A:A,A93)&gt;0,COUNTIF('PE porfolio names final'!A:A,A93)&gt;0),"PE &amp; Portfolio",COUNTIF('PE names final'!A:A,A93)&gt;0,"PE",COUNTIF('PE porfolio names final'!A:A,A93)&gt;0,"Portfolio",TRUE,"")</f>
        <v>Portfolio</v>
      </c>
      <c r="D93" s="19">
        <f>_xlfn.LET(_xlpm.L,IFERROR(_xlfn.XLOOKUP(A93,'PE names final'!A:A,'PE names final'!C:C),_xlfn.XLOOKUP(A93,'PE porfolio names final'!A:A,'PE porfolio names final'!C:C,"")),IF(_xlpm.L=0,"",_xlpm.L))</f>
        <v>46064</v>
      </c>
      <c r="E93" s="19" t="str">
        <f>_xlfn.LET(_xlpm.d,IFERROR(_xlfn.XLOOKUP(A93,'PE names final'!A:A,'PE names final'!D:D),_xlfn.XLOOKUP(A93,'PE porfolio names final'!A:A,'PE porfolio names final'!D:D,"")),IF(_xlpm.d=0,"",IF(_xlpm.d&lt;D93,"Error",_xlpm.d)))</f>
        <v>Got response</v>
      </c>
      <c r="F93" s="19" t="str">
        <f t="shared" si="10"/>
        <v/>
      </c>
      <c r="G93" s="19" t="str">
        <f t="shared" si="15"/>
        <v/>
      </c>
      <c r="H93" s="19" t="str">
        <f t="shared" si="15"/>
        <v/>
      </c>
      <c r="I93" s="19" t="str">
        <f t="shared" si="15"/>
        <v/>
      </c>
      <c r="J93" s="27" t="str">
        <f t="shared" ca="1" si="14"/>
        <v/>
      </c>
      <c r="K93" s="18" t="str">
        <f t="shared" ca="1" si="11"/>
        <v/>
      </c>
      <c r="L93" s="18" t="str">
        <f t="shared" ca="1" si="12"/>
        <v/>
      </c>
      <c r="M93" s="28" t="str">
        <f t="shared" ca="1" si="13"/>
        <v/>
      </c>
    </row>
    <row r="94" spans="1:13" x14ac:dyDescent="0.3">
      <c r="A94" s="27" t="s">
        <v>534</v>
      </c>
      <c r="B94" s="18" t="str">
        <f>IF(COUNTIF('PE names final'!A:A, A94)+COUNTIF('PE porfolio names final'!A:A,A94)=1, "Yes", "Error")</f>
        <v>Yes</v>
      </c>
      <c r="C94" s="18" t="str" cm="1">
        <f t="array" ref="C94">_xlfn.IFS(AND(COUNTIF('PE names final'!A:A,A94)&gt;0,COUNTIF('PE porfolio names final'!A:A,A94)&gt;0),"PE &amp; Portfolio",COUNTIF('PE names final'!A:A,A94)&gt;0,"PE",COUNTIF('PE porfolio names final'!A:A,A94)&gt;0,"Portfolio",TRUE,"")</f>
        <v>Portfolio</v>
      </c>
      <c r="D94" s="19">
        <f>_xlfn.LET(_xlpm.L,IFERROR(_xlfn.XLOOKUP(A94,'PE names final'!A:A,'PE names final'!C:C),_xlfn.XLOOKUP(A94,'PE porfolio names final'!A:A,'PE porfolio names final'!C:C,"")),IF(_xlpm.L=0,"",_xlpm.L))</f>
        <v>46064</v>
      </c>
      <c r="E94" s="19" t="str">
        <f>_xlfn.LET(_xlpm.d,IFERROR(_xlfn.XLOOKUP(A94,'PE names final'!A:A,'PE names final'!D:D),_xlfn.XLOOKUP(A94,'PE porfolio names final'!A:A,'PE porfolio names final'!D:D,"")),IF(_xlpm.d=0,"",IF(_xlpm.d&lt;D94,"Error",_xlpm.d)))</f>
        <v>Bounced</v>
      </c>
      <c r="F94" s="19" t="str">
        <f t="shared" si="10"/>
        <v/>
      </c>
      <c r="G94" s="19" t="str">
        <f t="shared" si="15"/>
        <v/>
      </c>
      <c r="H94" s="19" t="str">
        <f t="shared" si="15"/>
        <v/>
      </c>
      <c r="I94" s="19" t="str">
        <f t="shared" si="15"/>
        <v/>
      </c>
      <c r="J94" s="27" t="str">
        <f t="shared" ca="1" si="14"/>
        <v/>
      </c>
      <c r="K94" s="18" t="str">
        <f t="shared" ca="1" si="11"/>
        <v/>
      </c>
      <c r="L94" s="18" t="str">
        <f t="shared" ca="1" si="12"/>
        <v/>
      </c>
      <c r="M94" s="28" t="str">
        <f t="shared" ca="1" si="13"/>
        <v/>
      </c>
    </row>
    <row r="95" spans="1:13" x14ac:dyDescent="0.3">
      <c r="A95" s="27" t="s">
        <v>539</v>
      </c>
      <c r="B95" s="18" t="str">
        <f>IF(COUNTIF('PE names final'!A:A, A95)+COUNTIF('PE porfolio names final'!A:A,A95)=1, "Yes", "Error")</f>
        <v>Yes</v>
      </c>
      <c r="C95" s="18" t="str" cm="1">
        <f t="array" ref="C95">_xlfn.IFS(AND(COUNTIF('PE names final'!A:A,A95)&gt;0,COUNTIF('PE porfolio names final'!A:A,A95)&gt;0),"PE &amp; Portfolio",COUNTIF('PE names final'!A:A,A95)&gt;0,"PE",COUNTIF('PE porfolio names final'!A:A,A95)&gt;0,"Portfolio",TRUE,"")</f>
        <v>Portfolio</v>
      </c>
      <c r="D95" s="19">
        <f>_xlfn.LET(_xlpm.L,IFERROR(_xlfn.XLOOKUP(A95,'PE names final'!A:A,'PE names final'!C:C),_xlfn.XLOOKUP(A95,'PE porfolio names final'!A:A,'PE porfolio names final'!C:C,"")),IF(_xlpm.L=0,"",_xlpm.L))</f>
        <v>46064</v>
      </c>
      <c r="E95" s="19">
        <f>_xlfn.LET(_xlpm.d,IFERROR(_xlfn.XLOOKUP(A95,'PE names final'!A:A,'PE names final'!D:D),_xlfn.XLOOKUP(A95,'PE porfolio names final'!A:A,'PE porfolio names final'!D:D,"")),IF(_xlpm.d=0,"",IF(_xlpm.d&lt;D95,"Error",_xlpm.d)))</f>
        <v>46120</v>
      </c>
      <c r="F95" s="19">
        <f t="shared" si="10"/>
        <v>46078</v>
      </c>
      <c r="G95" s="19">
        <f t="shared" si="15"/>
        <v>46092</v>
      </c>
      <c r="H95" s="19">
        <f t="shared" si="15"/>
        <v>46106</v>
      </c>
      <c r="I95" s="19">
        <f t="shared" si="15"/>
        <v>46120</v>
      </c>
      <c r="J95" s="27" t="str">
        <f t="shared" ca="1" si="14"/>
        <v>Done</v>
      </c>
      <c r="K95" s="18" t="str">
        <f t="shared" ca="1" si="11"/>
        <v>Done</v>
      </c>
      <c r="L95" s="18" t="str">
        <f t="shared" ca="1" si="12"/>
        <v>Done</v>
      </c>
      <c r="M95" s="28" t="str">
        <f t="shared" ca="1" si="13"/>
        <v>Done</v>
      </c>
    </row>
    <row r="96" spans="1:13" x14ac:dyDescent="0.3">
      <c r="A96" s="27" t="s">
        <v>544</v>
      </c>
      <c r="B96" s="18" t="str">
        <f>IF(COUNTIF('PE names final'!A:A, A96)+COUNTIF('PE porfolio names final'!A:A,A96)=1, "Yes", "Error")</f>
        <v>Yes</v>
      </c>
      <c r="C96" s="18" t="str" cm="1">
        <f t="array" ref="C96">_xlfn.IFS(AND(COUNTIF('PE names final'!A:A,A96)&gt;0,COUNTIF('PE porfolio names final'!A:A,A96)&gt;0),"PE &amp; Portfolio",COUNTIF('PE names final'!A:A,A96)&gt;0,"PE",COUNTIF('PE porfolio names final'!A:A,A96)&gt;0,"Portfolio",TRUE,"")</f>
        <v>Portfolio</v>
      </c>
      <c r="D96" s="19">
        <f>_xlfn.LET(_xlpm.L,IFERROR(_xlfn.XLOOKUP(A96,'PE names final'!A:A,'PE names final'!C:C),_xlfn.XLOOKUP(A96,'PE porfolio names final'!A:A,'PE porfolio names final'!C:C,"")),IF(_xlpm.L=0,"",_xlpm.L))</f>
        <v>46064</v>
      </c>
      <c r="E96" s="19" t="str">
        <f>_xlfn.LET(_xlpm.d,IFERROR(_xlfn.XLOOKUP(A96,'PE names final'!A:A,'PE names final'!D:D),_xlfn.XLOOKUP(A96,'PE porfolio names final'!A:A,'PE porfolio names final'!D:D,"")),IF(_xlpm.d=0,"",IF(_xlpm.d&lt;D96,"Error",_xlpm.d)))</f>
        <v>Got response</v>
      </c>
      <c r="F96" s="19" t="str">
        <f t="shared" si="10"/>
        <v/>
      </c>
      <c r="G96" s="19" t="str">
        <f t="shared" si="15"/>
        <v/>
      </c>
      <c r="H96" s="19" t="str">
        <f t="shared" si="15"/>
        <v/>
      </c>
      <c r="I96" s="19" t="str">
        <f t="shared" si="15"/>
        <v/>
      </c>
      <c r="J96" s="27" t="str">
        <f t="shared" ca="1" si="14"/>
        <v/>
      </c>
      <c r="K96" s="18" t="str">
        <f t="shared" ca="1" si="11"/>
        <v/>
      </c>
      <c r="L96" s="18" t="str">
        <f t="shared" ca="1" si="12"/>
        <v/>
      </c>
      <c r="M96" s="28" t="str">
        <f t="shared" ca="1" si="13"/>
        <v/>
      </c>
    </row>
    <row r="97" spans="1:13" x14ac:dyDescent="0.3">
      <c r="A97" s="27" t="s">
        <v>549</v>
      </c>
      <c r="B97" s="18" t="str">
        <f>IF(COUNTIF('PE names final'!A:A, A97)+COUNTIF('PE porfolio names final'!A:A,A97)=1, "Yes", "Error")</f>
        <v>Yes</v>
      </c>
      <c r="C97" s="18" t="str" cm="1">
        <f t="array" ref="C97">_xlfn.IFS(AND(COUNTIF('PE names final'!A:A,A97)&gt;0,COUNTIF('PE porfolio names final'!A:A,A97)&gt;0),"PE &amp; Portfolio",COUNTIF('PE names final'!A:A,A97)&gt;0,"PE",COUNTIF('PE porfolio names final'!A:A,A97)&gt;0,"Portfolio",TRUE,"")</f>
        <v>Portfolio</v>
      </c>
      <c r="D97" s="19">
        <f>_xlfn.LET(_xlpm.L,IFERROR(_xlfn.XLOOKUP(A97,'PE names final'!A:A,'PE names final'!C:C),_xlfn.XLOOKUP(A97,'PE porfolio names final'!A:A,'PE porfolio names final'!C:C,"")),IF(_xlpm.L=0,"",_xlpm.L))</f>
        <v>46064</v>
      </c>
      <c r="E97" s="19" t="str">
        <f>_xlfn.LET(_xlpm.d,IFERROR(_xlfn.XLOOKUP(A97,'PE names final'!A:A,'PE names final'!D:D),_xlfn.XLOOKUP(A97,'PE porfolio names final'!A:A,'PE porfolio names final'!D:D,"")),IF(_xlpm.d=0,"",IF(_xlpm.d&lt;D97,"Error",_xlpm.d)))</f>
        <v>Vishnu reached out</v>
      </c>
      <c r="F97" s="19" t="str">
        <f t="shared" si="10"/>
        <v/>
      </c>
      <c r="G97" s="19" t="str">
        <f t="shared" si="15"/>
        <v/>
      </c>
      <c r="H97" s="19" t="str">
        <f t="shared" si="15"/>
        <v/>
      </c>
      <c r="I97" s="19" t="str">
        <f t="shared" si="15"/>
        <v/>
      </c>
      <c r="J97" s="27" t="str">
        <f t="shared" ca="1" si="14"/>
        <v/>
      </c>
      <c r="K97" s="18" t="str">
        <f t="shared" ca="1" si="11"/>
        <v/>
      </c>
      <c r="L97" s="18" t="str">
        <f t="shared" ca="1" si="12"/>
        <v/>
      </c>
      <c r="M97" s="28" t="str">
        <f t="shared" ca="1" si="13"/>
        <v/>
      </c>
    </row>
    <row r="98" spans="1:13" x14ac:dyDescent="0.3">
      <c r="A98" s="27" t="s">
        <v>554</v>
      </c>
      <c r="B98" s="18" t="str">
        <f>IF(COUNTIF('PE names final'!A:A, A98)+COUNTIF('PE porfolio names final'!A:A,A98)=1, "Yes", "Error")</f>
        <v>Yes</v>
      </c>
      <c r="C98" s="18" t="str" cm="1">
        <f t="array" ref="C98">_xlfn.IFS(AND(COUNTIF('PE names final'!A:A,A98)&gt;0,COUNTIF('PE porfolio names final'!A:A,A98)&gt;0),"PE &amp; Portfolio",COUNTIF('PE names final'!A:A,A98)&gt;0,"PE",COUNTIF('PE porfolio names final'!A:A,A98)&gt;0,"Portfolio",TRUE,"")</f>
        <v>Portfolio</v>
      </c>
      <c r="D98" s="19">
        <f>_xlfn.LET(_xlpm.L,IFERROR(_xlfn.XLOOKUP(A98,'PE names final'!A:A,'PE names final'!C:C),_xlfn.XLOOKUP(A98,'PE porfolio names final'!A:A,'PE porfolio names final'!C:C,"")),IF(_xlpm.L=0,"",_xlpm.L))</f>
        <v>46064</v>
      </c>
      <c r="E98" s="19">
        <f>_xlfn.LET(_xlpm.d,IFERROR(_xlfn.XLOOKUP(A98,'PE names final'!A:A,'PE names final'!D:D),_xlfn.XLOOKUP(A98,'PE porfolio names final'!A:A,'PE porfolio names final'!D:D,"")),IF(_xlpm.d=0,"",IF(_xlpm.d&lt;D98,"Error",_xlpm.d)))</f>
        <v>46120</v>
      </c>
      <c r="F98" s="19">
        <f t="shared" si="10"/>
        <v>46078</v>
      </c>
      <c r="G98" s="19">
        <f t="shared" si="15"/>
        <v>46092</v>
      </c>
      <c r="H98" s="19">
        <f t="shared" si="15"/>
        <v>46106</v>
      </c>
      <c r="I98" s="19">
        <f t="shared" si="15"/>
        <v>46120</v>
      </c>
      <c r="J98" s="27" t="str">
        <f t="shared" ca="1" si="14"/>
        <v>Done</v>
      </c>
      <c r="K98" s="18" t="str">
        <f t="shared" ca="1" si="11"/>
        <v>Done</v>
      </c>
      <c r="L98" s="18" t="str">
        <f t="shared" ca="1" si="12"/>
        <v>Done</v>
      </c>
      <c r="M98" s="28" t="str">
        <f t="shared" ca="1" si="13"/>
        <v>Done</v>
      </c>
    </row>
    <row r="99" spans="1:13" x14ac:dyDescent="0.3">
      <c r="A99" s="27" t="s">
        <v>559</v>
      </c>
      <c r="B99" s="18" t="str">
        <f>IF(COUNTIF('PE names final'!A:A, A99)+COUNTIF('PE porfolio names final'!A:A,A99)=1, "Yes", "Error")</f>
        <v>Yes</v>
      </c>
      <c r="C99" s="18" t="str" cm="1">
        <f t="array" ref="C99">_xlfn.IFS(AND(COUNTIF('PE names final'!A:A,A99)&gt;0,COUNTIF('PE porfolio names final'!A:A,A99)&gt;0),"PE &amp; Portfolio",COUNTIF('PE names final'!A:A,A99)&gt;0,"PE",COUNTIF('PE porfolio names final'!A:A,A99)&gt;0,"Portfolio",TRUE,"")</f>
        <v>Portfolio</v>
      </c>
      <c r="D99" s="19">
        <f>_xlfn.LET(_xlpm.L,IFERROR(_xlfn.XLOOKUP(A99,'PE names final'!A:A,'PE names final'!C:C),_xlfn.XLOOKUP(A99,'PE porfolio names final'!A:A,'PE porfolio names final'!C:C,"")),IF(_xlpm.L=0,"",_xlpm.L))</f>
        <v>46064</v>
      </c>
      <c r="E99" s="19" t="str">
        <f>_xlfn.LET(_xlpm.d,IFERROR(_xlfn.XLOOKUP(A99,'PE names final'!A:A,'PE names final'!D:D),_xlfn.XLOOKUP(A99,'PE porfolio names final'!A:A,'PE porfolio names final'!D:D,"")),IF(_xlpm.d=0,"",IF(_xlpm.d&lt;D99,"Error",_xlpm.d)))</f>
        <v>Got response</v>
      </c>
      <c r="F99" s="19" t="str">
        <f t="shared" si="10"/>
        <v/>
      </c>
      <c r="G99" s="19" t="str">
        <f t="shared" si="15"/>
        <v/>
      </c>
      <c r="H99" s="19" t="str">
        <f t="shared" si="15"/>
        <v/>
      </c>
      <c r="I99" s="19" t="str">
        <f t="shared" si="15"/>
        <v/>
      </c>
      <c r="J99" s="27" t="str">
        <f t="shared" ca="1" si="14"/>
        <v/>
      </c>
      <c r="K99" s="18" t="str">
        <f t="shared" ca="1" si="11"/>
        <v/>
      </c>
      <c r="L99" s="18" t="str">
        <f t="shared" ca="1" si="12"/>
        <v/>
      </c>
      <c r="M99" s="28" t="str">
        <f t="shared" ca="1" si="13"/>
        <v/>
      </c>
    </row>
    <row r="100" spans="1:13" x14ac:dyDescent="0.3">
      <c r="A100" s="27" t="s">
        <v>564</v>
      </c>
      <c r="B100" s="18" t="str">
        <f>IF(COUNTIF('PE names final'!A:A, A100)+COUNTIF('PE porfolio names final'!A:A,A100)=1, "Yes", "Error")</f>
        <v>Yes</v>
      </c>
      <c r="C100" s="18" t="str" cm="1">
        <f t="array" ref="C100">_xlfn.IFS(AND(COUNTIF('PE names final'!A:A,A100)&gt;0,COUNTIF('PE porfolio names final'!A:A,A100)&gt;0),"PE &amp; Portfolio",COUNTIF('PE names final'!A:A,A100)&gt;0,"PE",COUNTIF('PE porfolio names final'!A:A,A100)&gt;0,"Portfolio",TRUE,"")</f>
        <v>Portfolio</v>
      </c>
      <c r="D100" s="19">
        <f>_xlfn.LET(_xlpm.L,IFERROR(_xlfn.XLOOKUP(A100,'PE names final'!A:A,'PE names final'!C:C),_xlfn.XLOOKUP(A100,'PE porfolio names final'!A:A,'PE porfolio names final'!C:C,"")),IF(_xlpm.L=0,"",_xlpm.L))</f>
        <v>46064</v>
      </c>
      <c r="E100" s="19">
        <f>_xlfn.LET(_xlpm.d,IFERROR(_xlfn.XLOOKUP(A100,'PE names final'!A:A,'PE names final'!D:D),_xlfn.XLOOKUP(A100,'PE porfolio names final'!A:A,'PE porfolio names final'!D:D,"")),IF(_xlpm.d=0,"",IF(_xlpm.d&lt;D100,"Error",_xlpm.d)))</f>
        <v>46120</v>
      </c>
      <c r="F100" s="19">
        <f t="shared" si="10"/>
        <v>46078</v>
      </c>
      <c r="G100" s="19">
        <f t="shared" si="15"/>
        <v>46092</v>
      </c>
      <c r="H100" s="19">
        <f t="shared" si="15"/>
        <v>46106</v>
      </c>
      <c r="I100" s="19">
        <f t="shared" si="15"/>
        <v>46120</v>
      </c>
      <c r="J100" s="27" t="str">
        <f t="shared" ca="1" si="14"/>
        <v>Done</v>
      </c>
      <c r="K100" s="18" t="str">
        <f t="shared" ca="1" si="11"/>
        <v>Done</v>
      </c>
      <c r="L100" s="18" t="str">
        <f t="shared" ca="1" si="12"/>
        <v>Done</v>
      </c>
      <c r="M100" s="28" t="str">
        <f t="shared" ca="1" si="13"/>
        <v>Done</v>
      </c>
    </row>
    <row r="101" spans="1:13" x14ac:dyDescent="0.3">
      <c r="A101" s="27" t="s">
        <v>569</v>
      </c>
      <c r="B101" s="18" t="str">
        <f>IF(COUNTIF('PE names final'!A:A, A101)+COUNTIF('PE porfolio names final'!A:A,A101)=1, "Yes", "Error")</f>
        <v>Yes</v>
      </c>
      <c r="C101" s="18" t="str" cm="1">
        <f t="array" ref="C101">_xlfn.IFS(AND(COUNTIF('PE names final'!A:A,A101)&gt;0,COUNTIF('PE porfolio names final'!A:A,A101)&gt;0),"PE &amp; Portfolio",COUNTIF('PE names final'!A:A,A101)&gt;0,"PE",COUNTIF('PE porfolio names final'!A:A,A101)&gt;0,"Portfolio",TRUE,"")</f>
        <v>Portfolio</v>
      </c>
      <c r="D101" s="19">
        <f>_xlfn.LET(_xlpm.L,IFERROR(_xlfn.XLOOKUP(A101,'PE names final'!A:A,'PE names final'!C:C),_xlfn.XLOOKUP(A101,'PE porfolio names final'!A:A,'PE porfolio names final'!C:C,"")),IF(_xlpm.L=0,"",_xlpm.L))</f>
        <v>46064</v>
      </c>
      <c r="E101" s="19">
        <f>_xlfn.LET(_xlpm.d,IFERROR(_xlfn.XLOOKUP(A101,'PE names final'!A:A,'PE names final'!D:D),_xlfn.XLOOKUP(A101,'PE porfolio names final'!A:A,'PE porfolio names final'!D:D,"")),IF(_xlpm.d=0,"",IF(_xlpm.d&lt;D101,"Error",_xlpm.d)))</f>
        <v>46120</v>
      </c>
      <c r="F101" s="19">
        <f t="shared" si="10"/>
        <v>46078</v>
      </c>
      <c r="G101" s="19">
        <f t="shared" si="15"/>
        <v>46092</v>
      </c>
      <c r="H101" s="19">
        <f t="shared" si="15"/>
        <v>46106</v>
      </c>
      <c r="I101" s="19">
        <f t="shared" si="15"/>
        <v>46120</v>
      </c>
      <c r="J101" s="27" t="str">
        <f t="shared" ca="1" si="14"/>
        <v>Done</v>
      </c>
      <c r="K101" s="18" t="str">
        <f t="shared" ca="1" si="11"/>
        <v>Done</v>
      </c>
      <c r="L101" s="18" t="str">
        <f t="shared" ca="1" si="12"/>
        <v>Done</v>
      </c>
      <c r="M101" s="28" t="str">
        <f t="shared" ca="1" si="13"/>
        <v>Done</v>
      </c>
    </row>
    <row r="102" spans="1:13" x14ac:dyDescent="0.3">
      <c r="A102" s="27" t="s">
        <v>573</v>
      </c>
      <c r="B102" s="18" t="str">
        <f>IF(COUNTIF('PE names final'!A:A, A102)+COUNTIF('PE porfolio names final'!A:A,A102)=1, "Yes", "Error")</f>
        <v>Yes</v>
      </c>
      <c r="C102" s="18" t="str" cm="1">
        <f t="array" ref="C102">_xlfn.IFS(AND(COUNTIF('PE names final'!A:A,A102)&gt;0,COUNTIF('PE porfolio names final'!A:A,A102)&gt;0),"PE &amp; Portfolio",COUNTIF('PE names final'!A:A,A102)&gt;0,"PE",COUNTIF('PE porfolio names final'!A:A,A102)&gt;0,"Portfolio",TRUE,"")</f>
        <v>Portfolio</v>
      </c>
      <c r="D102" s="19">
        <f>_xlfn.LET(_xlpm.L,IFERROR(_xlfn.XLOOKUP(A102,'PE names final'!A:A,'PE names final'!C:C),_xlfn.XLOOKUP(A102,'PE porfolio names final'!A:A,'PE porfolio names final'!C:C,"")),IF(_xlpm.L=0,"",_xlpm.L))</f>
        <v>46064</v>
      </c>
      <c r="E102" s="19">
        <f>_xlfn.LET(_xlpm.d,IFERROR(_xlfn.XLOOKUP(A102,'PE names final'!A:A,'PE names final'!D:D),_xlfn.XLOOKUP(A102,'PE porfolio names final'!A:A,'PE porfolio names final'!D:D,"")),IF(_xlpm.d=0,"",IF(_xlpm.d&lt;D102,"Error",_xlpm.d)))</f>
        <v>46120</v>
      </c>
      <c r="F102" s="19">
        <f t="shared" si="10"/>
        <v>46078</v>
      </c>
      <c r="G102" s="19">
        <f t="shared" si="15"/>
        <v>46092</v>
      </c>
      <c r="H102" s="19">
        <f t="shared" si="15"/>
        <v>46106</v>
      </c>
      <c r="I102" s="19">
        <f t="shared" si="15"/>
        <v>46120</v>
      </c>
      <c r="J102" s="27" t="str">
        <f t="shared" ca="1" si="14"/>
        <v>Done</v>
      </c>
      <c r="K102" s="18" t="str">
        <f t="shared" ca="1" si="11"/>
        <v>Done</v>
      </c>
      <c r="L102" s="18" t="str">
        <f t="shared" ca="1" si="12"/>
        <v>Done</v>
      </c>
      <c r="M102" s="28" t="str">
        <f t="shared" ca="1" si="13"/>
        <v>Done</v>
      </c>
    </row>
    <row r="103" spans="1:13" x14ac:dyDescent="0.3">
      <c r="A103" s="27" t="s">
        <v>579</v>
      </c>
      <c r="B103" s="18" t="str">
        <f>IF(COUNTIF('PE names final'!A:A, A103)+COUNTIF('PE porfolio names final'!A:A,A103)=1, "Yes", "Error")</f>
        <v>Yes</v>
      </c>
      <c r="C103" s="18" t="str" cm="1">
        <f t="array" ref="C103">_xlfn.IFS(AND(COUNTIF('PE names final'!A:A,A103)&gt;0,COUNTIF('PE porfolio names final'!A:A,A103)&gt;0),"PE &amp; Portfolio",COUNTIF('PE names final'!A:A,A103)&gt;0,"PE",COUNTIF('PE porfolio names final'!A:A,A103)&gt;0,"Portfolio",TRUE,"")</f>
        <v>Portfolio</v>
      </c>
      <c r="D103" s="19">
        <f>_xlfn.LET(_xlpm.L,IFERROR(_xlfn.XLOOKUP(A103,'PE names final'!A:A,'PE names final'!C:C),_xlfn.XLOOKUP(A103,'PE porfolio names final'!A:A,'PE porfolio names final'!C:C,"")),IF(_xlpm.L=0,"",_xlpm.L))</f>
        <v>46064</v>
      </c>
      <c r="E103" s="19">
        <f>_xlfn.LET(_xlpm.d,IFERROR(_xlfn.XLOOKUP(A103,'PE names final'!A:A,'PE names final'!D:D),_xlfn.XLOOKUP(A103,'PE porfolio names final'!A:A,'PE porfolio names final'!D:D,"")),IF(_xlpm.d=0,"",IF(_xlpm.d&lt;D103,"Error",_xlpm.d)))</f>
        <v>46120</v>
      </c>
      <c r="F103" s="19">
        <f t="shared" ref="F103:F113" si="16">IF(ISNUMBER($E103),D103+14,"")</f>
        <v>46078</v>
      </c>
      <c r="G103" s="19">
        <f t="shared" si="15"/>
        <v>46092</v>
      </c>
      <c r="H103" s="19">
        <f t="shared" si="15"/>
        <v>46106</v>
      </c>
      <c r="I103" s="19">
        <f t="shared" si="15"/>
        <v>46120</v>
      </c>
      <c r="J103" s="27" t="str">
        <f t="shared" ca="1" si="14"/>
        <v>Done</v>
      </c>
      <c r="K103" s="18" t="str">
        <f t="shared" ca="1" si="11"/>
        <v>Done</v>
      </c>
      <c r="L103" s="18" t="str">
        <f t="shared" ca="1" si="12"/>
        <v>Done</v>
      </c>
      <c r="M103" s="28" t="str">
        <f t="shared" ca="1" si="13"/>
        <v>Done</v>
      </c>
    </row>
    <row r="104" spans="1:13" x14ac:dyDescent="0.3">
      <c r="A104" s="27" t="s">
        <v>584</v>
      </c>
      <c r="B104" s="18" t="str">
        <f>IF(COUNTIF('PE names final'!A:A, A104)+COUNTIF('PE porfolio names final'!A:A,A104)=1, "Yes", "Error")</f>
        <v>Yes</v>
      </c>
      <c r="C104" s="18" t="str" cm="1">
        <f t="array" ref="C104">_xlfn.IFS(AND(COUNTIF('PE names final'!A:A,A104)&gt;0,COUNTIF('PE porfolio names final'!A:A,A104)&gt;0),"PE &amp; Portfolio",COUNTIF('PE names final'!A:A,A104)&gt;0,"PE",COUNTIF('PE porfolio names final'!A:A,A104)&gt;0,"Portfolio",TRUE,"")</f>
        <v>Portfolio</v>
      </c>
      <c r="D104" s="19">
        <f>_xlfn.LET(_xlpm.L,IFERROR(_xlfn.XLOOKUP(A104,'PE names final'!A:A,'PE names final'!C:C),_xlfn.XLOOKUP(A104,'PE porfolio names final'!A:A,'PE porfolio names final'!C:C,"")),IF(_xlpm.L=0,"",_xlpm.L))</f>
        <v>46064</v>
      </c>
      <c r="E104" s="19">
        <f>_xlfn.LET(_xlpm.d,IFERROR(_xlfn.XLOOKUP(A104,'PE names final'!A:A,'PE names final'!D:D),_xlfn.XLOOKUP(A104,'PE porfolio names final'!A:A,'PE porfolio names final'!D:D,"")),IF(_xlpm.d=0,"",IF(_xlpm.d&lt;D104,"Error",_xlpm.d)))</f>
        <v>46120</v>
      </c>
      <c r="F104" s="19">
        <f t="shared" si="16"/>
        <v>46078</v>
      </c>
      <c r="G104" s="19">
        <f t="shared" si="15"/>
        <v>46092</v>
      </c>
      <c r="H104" s="19">
        <f t="shared" si="15"/>
        <v>46106</v>
      </c>
      <c r="I104" s="19">
        <f t="shared" si="15"/>
        <v>46120</v>
      </c>
      <c r="J104" s="27" t="str">
        <f t="shared" ca="1" si="14"/>
        <v>Done</v>
      </c>
      <c r="K104" s="18" t="str">
        <f t="shared" ca="1" si="11"/>
        <v>Done</v>
      </c>
      <c r="L104" s="18" t="str">
        <f t="shared" ca="1" si="12"/>
        <v>Done</v>
      </c>
      <c r="M104" s="28" t="str">
        <f t="shared" ca="1" si="13"/>
        <v>Done</v>
      </c>
    </row>
    <row r="105" spans="1:13" x14ac:dyDescent="0.3">
      <c r="A105" s="27" t="s">
        <v>589</v>
      </c>
      <c r="B105" s="18" t="str">
        <f>IF(COUNTIF('PE names final'!A:A, A105)+COUNTIF('PE porfolio names final'!A:A,A105)=1, "Yes", "Error")</f>
        <v>Yes</v>
      </c>
      <c r="C105" s="18" t="str" cm="1">
        <f t="array" ref="C105">_xlfn.IFS(AND(COUNTIF('PE names final'!A:A,A105)&gt;0,COUNTIF('PE porfolio names final'!A:A,A105)&gt;0),"PE &amp; Portfolio",COUNTIF('PE names final'!A:A,A105)&gt;0,"PE",COUNTIF('PE porfolio names final'!A:A,A105)&gt;0,"Portfolio",TRUE,"")</f>
        <v>Portfolio</v>
      </c>
      <c r="D105" s="19">
        <f>_xlfn.LET(_xlpm.L,IFERROR(_xlfn.XLOOKUP(A105,'PE names final'!A:A,'PE names final'!C:C),_xlfn.XLOOKUP(A105,'PE porfolio names final'!A:A,'PE porfolio names final'!C:C,"")),IF(_xlpm.L=0,"",_xlpm.L))</f>
        <v>46064</v>
      </c>
      <c r="E105" s="19" t="str">
        <f>_xlfn.LET(_xlpm.d,IFERROR(_xlfn.XLOOKUP(A105,'PE names final'!A:A,'PE names final'!D:D),_xlfn.XLOOKUP(A105,'PE porfolio names final'!A:A,'PE porfolio names final'!D:D,"")),IF(_xlpm.d=0,"",IF(_xlpm.d&lt;D105,"Error",_xlpm.d)))</f>
        <v>Bounced</v>
      </c>
      <c r="F105" s="19" t="str">
        <f t="shared" si="16"/>
        <v/>
      </c>
      <c r="G105" s="19" t="str">
        <f t="shared" si="15"/>
        <v/>
      </c>
      <c r="H105" s="19" t="str">
        <f t="shared" si="15"/>
        <v/>
      </c>
      <c r="I105" s="19" t="str">
        <f t="shared" si="15"/>
        <v/>
      </c>
      <c r="J105" s="27" t="str">
        <f t="shared" ca="1" si="14"/>
        <v/>
      </c>
      <c r="K105" s="18" t="str">
        <f t="shared" ca="1" si="11"/>
        <v/>
      </c>
      <c r="L105" s="18" t="str">
        <f t="shared" ca="1" si="12"/>
        <v/>
      </c>
      <c r="M105" s="28" t="str">
        <f t="shared" ca="1" si="13"/>
        <v/>
      </c>
    </row>
    <row r="106" spans="1:13" x14ac:dyDescent="0.3">
      <c r="A106" s="27" t="s">
        <v>594</v>
      </c>
      <c r="B106" s="18" t="str">
        <f>IF(COUNTIF('PE names final'!A:A, A106)+COUNTIF('PE porfolio names final'!A:A,A106)=1, "Yes", "Error")</f>
        <v>Yes</v>
      </c>
      <c r="C106" s="18" t="str" cm="1">
        <f t="array" ref="C106">_xlfn.IFS(AND(COUNTIF('PE names final'!A:A,A106)&gt;0,COUNTIF('PE porfolio names final'!A:A,A106)&gt;0),"PE &amp; Portfolio",COUNTIF('PE names final'!A:A,A106)&gt;0,"PE",COUNTIF('PE porfolio names final'!A:A,A106)&gt;0,"Portfolio",TRUE,"")</f>
        <v>Portfolio</v>
      </c>
      <c r="D106" s="19">
        <f>_xlfn.LET(_xlpm.L,IFERROR(_xlfn.XLOOKUP(A106,'PE names final'!A:A,'PE names final'!C:C),_xlfn.XLOOKUP(A106,'PE porfolio names final'!A:A,'PE porfolio names final'!C:C,"")),IF(_xlpm.L=0,"",_xlpm.L))</f>
        <v>46064</v>
      </c>
      <c r="E106" s="19" t="str">
        <f>_xlfn.LET(_xlpm.d,IFERROR(_xlfn.XLOOKUP(A106,'PE names final'!A:A,'PE names final'!D:D),_xlfn.XLOOKUP(A106,'PE porfolio names final'!A:A,'PE porfolio names final'!D:D,"")),IF(_xlpm.d=0,"",IF(_xlpm.d&lt;D106,"Error",_xlpm.d)))</f>
        <v>Bounced</v>
      </c>
      <c r="F106" s="19" t="str">
        <f t="shared" si="16"/>
        <v/>
      </c>
      <c r="G106" s="19" t="str">
        <f t="shared" si="15"/>
        <v/>
      </c>
      <c r="H106" s="19" t="str">
        <f t="shared" si="15"/>
        <v/>
      </c>
      <c r="I106" s="19" t="str">
        <f t="shared" si="15"/>
        <v/>
      </c>
      <c r="J106" s="27" t="str">
        <f t="shared" ca="1" si="14"/>
        <v/>
      </c>
      <c r="K106" s="18" t="str">
        <f t="shared" ca="1" si="11"/>
        <v/>
      </c>
      <c r="L106" s="18" t="str">
        <f t="shared" ca="1" si="12"/>
        <v/>
      </c>
      <c r="M106" s="28" t="str">
        <f t="shared" ca="1" si="13"/>
        <v/>
      </c>
    </row>
    <row r="107" spans="1:13" x14ac:dyDescent="0.3">
      <c r="A107" s="27" t="s">
        <v>599</v>
      </c>
      <c r="B107" s="18" t="str">
        <f>IF(COUNTIF('PE names final'!A:A, A107)+COUNTIF('PE porfolio names final'!A:A,A107)=1, "Yes", "Error")</f>
        <v>Yes</v>
      </c>
      <c r="C107" s="18" t="str" cm="1">
        <f t="array" ref="C107">_xlfn.IFS(AND(COUNTIF('PE names final'!A:A,A107)&gt;0,COUNTIF('PE porfolio names final'!A:A,A107)&gt;0),"PE &amp; Portfolio",COUNTIF('PE names final'!A:A,A107)&gt;0,"PE",COUNTIF('PE porfolio names final'!A:A,A107)&gt;0,"Portfolio",TRUE,"")</f>
        <v>Portfolio</v>
      </c>
      <c r="D107" s="19">
        <f>_xlfn.LET(_xlpm.L,IFERROR(_xlfn.XLOOKUP(A107,'PE names final'!A:A,'PE names final'!C:C),_xlfn.XLOOKUP(A107,'PE porfolio names final'!A:A,'PE porfolio names final'!C:C,"")),IF(_xlpm.L=0,"",_xlpm.L))</f>
        <v>46064</v>
      </c>
      <c r="E107" s="19">
        <f>_xlfn.LET(_xlpm.d,IFERROR(_xlfn.XLOOKUP(A107,'PE names final'!A:A,'PE names final'!D:D),_xlfn.XLOOKUP(A107,'PE porfolio names final'!A:A,'PE porfolio names final'!D:D,"")),IF(_xlpm.d=0,"",IF(_xlpm.d&lt;D107,"Error",_xlpm.d)))</f>
        <v>46120</v>
      </c>
      <c r="F107" s="19">
        <f t="shared" si="16"/>
        <v>46078</v>
      </c>
      <c r="G107" s="19">
        <f t="shared" ref="G107:I113" si="17">IF(ISNUMBER($E107),F107+14,"")</f>
        <v>46092</v>
      </c>
      <c r="H107" s="19">
        <f t="shared" si="17"/>
        <v>46106</v>
      </c>
      <c r="I107" s="19">
        <f t="shared" si="17"/>
        <v>46120</v>
      </c>
      <c r="J107" s="27" t="str">
        <f t="shared" ca="1" si="14"/>
        <v>Done</v>
      </c>
      <c r="K107" s="18" t="str">
        <f t="shared" ca="1" si="11"/>
        <v>Done</v>
      </c>
      <c r="L107" s="18" t="str">
        <f t="shared" ca="1" si="12"/>
        <v>Done</v>
      </c>
      <c r="M107" s="28" t="str">
        <f t="shared" ca="1" si="13"/>
        <v>Done</v>
      </c>
    </row>
    <row r="108" spans="1:13" x14ac:dyDescent="0.3">
      <c r="A108" s="27" t="s">
        <v>604</v>
      </c>
      <c r="B108" s="18" t="str">
        <f>IF(COUNTIF('PE names final'!A:A, A108)+COUNTIF('PE porfolio names final'!A:A,A108)=1, "Yes", "Error")</f>
        <v>Yes</v>
      </c>
      <c r="C108" s="18" t="str" cm="1">
        <f t="array" ref="C108">_xlfn.IFS(AND(COUNTIF('PE names final'!A:A,A108)&gt;0,COUNTIF('PE porfolio names final'!A:A,A108)&gt;0),"PE &amp; Portfolio",COUNTIF('PE names final'!A:A,A108)&gt;0,"PE",COUNTIF('PE porfolio names final'!A:A,A108)&gt;0,"Portfolio",TRUE,"")</f>
        <v>Portfolio</v>
      </c>
      <c r="D108" s="19">
        <f>_xlfn.LET(_xlpm.L,IFERROR(_xlfn.XLOOKUP(A108,'PE names final'!A:A,'PE names final'!C:C),_xlfn.XLOOKUP(A108,'PE porfolio names final'!A:A,'PE porfolio names final'!C:C,"")),IF(_xlpm.L=0,"",_xlpm.L))</f>
        <v>46064</v>
      </c>
      <c r="E108" s="19">
        <f>_xlfn.LET(_xlpm.d,IFERROR(_xlfn.XLOOKUP(A108,'PE names final'!A:A,'PE names final'!D:D),_xlfn.XLOOKUP(A108,'PE porfolio names final'!A:A,'PE porfolio names final'!D:D,"")),IF(_xlpm.d=0,"",IF(_xlpm.d&lt;D108,"Error",_xlpm.d)))</f>
        <v>46120</v>
      </c>
      <c r="F108" s="19">
        <f t="shared" si="16"/>
        <v>46078</v>
      </c>
      <c r="G108" s="19">
        <f t="shared" si="17"/>
        <v>46092</v>
      </c>
      <c r="H108" s="19">
        <f t="shared" si="17"/>
        <v>46106</v>
      </c>
      <c r="I108" s="19">
        <f t="shared" si="17"/>
        <v>46120</v>
      </c>
      <c r="J108" s="27" t="str">
        <f t="shared" ca="1" si="14"/>
        <v>Done</v>
      </c>
      <c r="K108" s="18" t="str">
        <f t="shared" ca="1" si="11"/>
        <v>Done</v>
      </c>
      <c r="L108" s="18" t="str">
        <f t="shared" ca="1" si="12"/>
        <v>Done</v>
      </c>
      <c r="M108" s="28" t="str">
        <f t="shared" ca="1" si="13"/>
        <v>Done</v>
      </c>
    </row>
    <row r="109" spans="1:13" x14ac:dyDescent="0.3">
      <c r="A109" s="27" t="s">
        <v>609</v>
      </c>
      <c r="B109" s="18" t="str">
        <f>IF(COUNTIF('PE names final'!A:A, A109)+COUNTIF('PE porfolio names final'!A:A,A109)=1, "Yes", "Error")</f>
        <v>Yes</v>
      </c>
      <c r="C109" s="18" t="str" cm="1">
        <f t="array" ref="C109">_xlfn.IFS(AND(COUNTIF('PE names final'!A:A,A109)&gt;0,COUNTIF('PE porfolio names final'!A:A,A109)&gt;0),"PE &amp; Portfolio",COUNTIF('PE names final'!A:A,A109)&gt;0,"PE",COUNTIF('PE porfolio names final'!A:A,A109)&gt;0,"Portfolio",TRUE,"")</f>
        <v>Portfolio</v>
      </c>
      <c r="D109" s="19">
        <f>_xlfn.LET(_xlpm.L,IFERROR(_xlfn.XLOOKUP(A109,'PE names final'!A:A,'PE names final'!C:C),_xlfn.XLOOKUP(A109,'PE porfolio names final'!A:A,'PE porfolio names final'!C:C,"")),IF(_xlpm.L=0,"",_xlpm.L))</f>
        <v>46064</v>
      </c>
      <c r="E109" s="19" t="str">
        <f>_xlfn.LET(_xlpm.d,IFERROR(_xlfn.XLOOKUP(A109,'PE names final'!A:A,'PE names final'!D:D),_xlfn.XLOOKUP(A109,'PE porfolio names final'!A:A,'PE porfolio names final'!D:D,"")),IF(_xlpm.d=0,"",IF(_xlpm.d&lt;D109,"Error",_xlpm.d)))</f>
        <v>Bounced</v>
      </c>
      <c r="F109" s="19" t="str">
        <f t="shared" si="16"/>
        <v/>
      </c>
      <c r="G109" s="19" t="str">
        <f t="shared" si="17"/>
        <v/>
      </c>
      <c r="H109" s="19" t="str">
        <f t="shared" si="17"/>
        <v/>
      </c>
      <c r="I109" s="19" t="str">
        <f t="shared" si="17"/>
        <v/>
      </c>
      <c r="J109" s="27" t="str">
        <f t="shared" ca="1" si="14"/>
        <v/>
      </c>
      <c r="K109" s="18" t="str">
        <f t="shared" ca="1" si="11"/>
        <v/>
      </c>
      <c r="L109" s="18" t="str">
        <f t="shared" ca="1" si="12"/>
        <v/>
      </c>
      <c r="M109" s="28" t="str">
        <f t="shared" ca="1" si="13"/>
        <v/>
      </c>
    </row>
    <row r="110" spans="1:13" x14ac:dyDescent="0.3">
      <c r="A110" s="27" t="s">
        <v>615</v>
      </c>
      <c r="B110" s="18" t="str">
        <f>IF(COUNTIF('PE names final'!A:A, A110)+COUNTIF('PE porfolio names final'!A:A,A110)=1, "Yes", "Error")</f>
        <v>Yes</v>
      </c>
      <c r="C110" s="18" t="str" cm="1">
        <f t="array" ref="C110">_xlfn.IFS(AND(COUNTIF('PE names final'!A:A,A110)&gt;0,COUNTIF('PE porfolio names final'!A:A,A110)&gt;0),"PE &amp; Portfolio",COUNTIF('PE names final'!A:A,A110)&gt;0,"PE",COUNTIF('PE porfolio names final'!A:A,A110)&gt;0,"Portfolio",TRUE,"")</f>
        <v>Portfolio</v>
      </c>
      <c r="D110" s="19">
        <f>_xlfn.LET(_xlpm.L,IFERROR(_xlfn.XLOOKUP(A110,'PE names final'!A:A,'PE names final'!C:C),_xlfn.XLOOKUP(A110,'PE porfolio names final'!A:A,'PE porfolio names final'!C:C,"")),IF(_xlpm.L=0,"",_xlpm.L))</f>
        <v>46064</v>
      </c>
      <c r="E110" s="19">
        <f>_xlfn.LET(_xlpm.d,IFERROR(_xlfn.XLOOKUP(A110,'PE names final'!A:A,'PE names final'!D:D),_xlfn.XLOOKUP(A110,'PE porfolio names final'!A:A,'PE porfolio names final'!D:D,"")),IF(_xlpm.d=0,"",IF(_xlpm.d&lt;D110,"Error",_xlpm.d)))</f>
        <v>46120</v>
      </c>
      <c r="F110" s="19">
        <f t="shared" si="16"/>
        <v>46078</v>
      </c>
      <c r="G110" s="19">
        <f t="shared" si="17"/>
        <v>46092</v>
      </c>
      <c r="H110" s="19">
        <f t="shared" si="17"/>
        <v>46106</v>
      </c>
      <c r="I110" s="19">
        <f t="shared" si="17"/>
        <v>46120</v>
      </c>
      <c r="J110" s="27" t="str">
        <f t="shared" ca="1" si="14"/>
        <v>Done</v>
      </c>
      <c r="K110" s="18" t="str">
        <f t="shared" ca="1" si="11"/>
        <v>Done</v>
      </c>
      <c r="L110" s="18" t="str">
        <f t="shared" ca="1" si="12"/>
        <v>Done</v>
      </c>
      <c r="M110" s="28" t="str">
        <f t="shared" ca="1" si="13"/>
        <v>Done</v>
      </c>
    </row>
    <row r="111" spans="1:13" x14ac:dyDescent="0.3">
      <c r="A111" s="27" t="s">
        <v>620</v>
      </c>
      <c r="B111" s="18" t="str">
        <f>IF(COUNTIF('PE names final'!A:A, A111)+COUNTIF('PE porfolio names final'!A:A,A111)=1, "Yes", "Error")</f>
        <v>Yes</v>
      </c>
      <c r="C111" s="18" t="str" cm="1">
        <f t="array" ref="C111">_xlfn.IFS(AND(COUNTIF('PE names final'!A:A,A111)&gt;0,COUNTIF('PE porfolio names final'!A:A,A111)&gt;0),"PE &amp; Portfolio",COUNTIF('PE names final'!A:A,A111)&gt;0,"PE",COUNTIF('PE porfolio names final'!A:A,A111)&gt;0,"Portfolio",TRUE,"")</f>
        <v>Portfolio</v>
      </c>
      <c r="D111" s="19">
        <f>_xlfn.LET(_xlpm.L,IFERROR(_xlfn.XLOOKUP(A111,'PE names final'!A:A,'PE names final'!C:C),_xlfn.XLOOKUP(A111,'PE porfolio names final'!A:A,'PE porfolio names final'!C:C,"")),IF(_xlpm.L=0,"",_xlpm.L))</f>
        <v>46064</v>
      </c>
      <c r="E111" s="19" t="str">
        <f>_xlfn.LET(_xlpm.d,IFERROR(_xlfn.XLOOKUP(A111,'PE names final'!A:A,'PE names final'!D:D),_xlfn.XLOOKUP(A111,'PE porfolio names final'!A:A,'PE porfolio names final'!D:D,"")),IF(_xlpm.d=0,"",IF(_xlpm.d&lt;D111,"Error",_xlpm.d)))</f>
        <v>Got response</v>
      </c>
      <c r="F111" s="19" t="str">
        <f t="shared" si="16"/>
        <v/>
      </c>
      <c r="G111" s="19" t="str">
        <f t="shared" si="17"/>
        <v/>
      </c>
      <c r="H111" s="19" t="str">
        <f t="shared" si="17"/>
        <v/>
      </c>
      <c r="I111" s="19" t="str">
        <f t="shared" si="17"/>
        <v/>
      </c>
      <c r="J111" s="27" t="str">
        <f t="shared" ca="1" si="14"/>
        <v/>
      </c>
      <c r="K111" s="18" t="str">
        <f t="shared" ca="1" si="11"/>
        <v/>
      </c>
      <c r="L111" s="18" t="str">
        <f t="shared" ca="1" si="12"/>
        <v/>
      </c>
      <c r="M111" s="28" t="str">
        <f t="shared" ca="1" si="13"/>
        <v/>
      </c>
    </row>
    <row r="112" spans="1:13" x14ac:dyDescent="0.3">
      <c r="A112" s="27" t="s">
        <v>627</v>
      </c>
      <c r="B112" s="18" t="str">
        <f>IF(COUNTIF('PE names final'!A:A, A112)+COUNTIF('PE porfolio names final'!A:A,A112)=1, "Yes", "Error")</f>
        <v>Yes</v>
      </c>
      <c r="C112" s="18" t="str" cm="1">
        <f t="array" ref="C112">_xlfn.IFS(AND(COUNTIF('PE names final'!A:A,A112)&gt;0,COUNTIF('PE porfolio names final'!A:A,A112)&gt;0),"PE &amp; Portfolio",COUNTIF('PE names final'!A:A,A112)&gt;0,"PE",COUNTIF('PE porfolio names final'!A:A,A112)&gt;0,"Portfolio",TRUE,"")</f>
        <v>Portfolio</v>
      </c>
      <c r="D112" s="19">
        <f>_xlfn.LET(_xlpm.L,IFERROR(_xlfn.XLOOKUP(A112,'PE names final'!A:A,'PE names final'!C:C),_xlfn.XLOOKUP(A112,'PE porfolio names final'!A:A,'PE porfolio names final'!C:C,"")),IF(_xlpm.L=0,"",_xlpm.L))</f>
        <v>46064</v>
      </c>
      <c r="E112" s="19" t="str">
        <f>_xlfn.LET(_xlpm.d,IFERROR(_xlfn.XLOOKUP(A112,'PE names final'!A:A,'PE names final'!D:D),_xlfn.XLOOKUP(A112,'PE porfolio names final'!A:A,'PE porfolio names final'!D:D,"")),IF(_xlpm.d=0,"",IF(_xlpm.d&lt;D112,"Error",_xlpm.d)))</f>
        <v>Got response</v>
      </c>
      <c r="F112" s="19" t="str">
        <f t="shared" si="16"/>
        <v/>
      </c>
      <c r="G112" s="19" t="str">
        <f t="shared" si="17"/>
        <v/>
      </c>
      <c r="H112" s="19" t="str">
        <f t="shared" si="17"/>
        <v/>
      </c>
      <c r="I112" s="19" t="str">
        <f t="shared" si="17"/>
        <v/>
      </c>
      <c r="J112" s="27" t="str">
        <f t="shared" ca="1" si="14"/>
        <v/>
      </c>
      <c r="K112" s="18" t="str">
        <f t="shared" ca="1" si="11"/>
        <v/>
      </c>
      <c r="L112" s="18" t="str">
        <f t="shared" ca="1" si="12"/>
        <v/>
      </c>
      <c r="M112" s="28" t="str">
        <f t="shared" ca="1" si="13"/>
        <v/>
      </c>
    </row>
    <row r="113" spans="1:13" x14ac:dyDescent="0.3">
      <c r="A113" s="27" t="s">
        <v>633</v>
      </c>
      <c r="B113" s="18" t="str">
        <f>IF(COUNTIF('PE names final'!A:A, A113)+COUNTIF('PE porfolio names final'!A:A,A113)=1, "Yes", "Error")</f>
        <v>Yes</v>
      </c>
      <c r="C113" s="18" t="str" cm="1">
        <f t="array" ref="C113">_xlfn.IFS(AND(COUNTIF('PE names final'!A:A,A113)&gt;0,COUNTIF('PE porfolio names final'!A:A,A113)&gt;0),"PE &amp; Portfolio",COUNTIF('PE names final'!A:A,A113)&gt;0,"PE",COUNTIF('PE porfolio names final'!A:A,A113)&gt;0,"Portfolio",TRUE,"")</f>
        <v>Portfolio</v>
      </c>
      <c r="D113" s="19">
        <f>_xlfn.LET(_xlpm.L,IFERROR(_xlfn.XLOOKUP(A113,'PE names final'!A:A,'PE names final'!C:C),_xlfn.XLOOKUP(A113,'PE porfolio names final'!A:A,'PE porfolio names final'!C:C,"")),IF(_xlpm.L=0,"",_xlpm.L))</f>
        <v>46062</v>
      </c>
      <c r="E113" s="19" t="str">
        <f>_xlfn.LET(_xlpm.d,IFERROR(_xlfn.XLOOKUP(A113,'PE names final'!A:A,'PE names final'!D:D),_xlfn.XLOOKUP(A113,'PE porfolio names final'!A:A,'PE porfolio names final'!D:D,"")),IF(_xlpm.d=0,"",IF(_xlpm.d&lt;D113,"Error",_xlpm.d)))</f>
        <v>Got response</v>
      </c>
      <c r="F113" s="19" t="str">
        <f t="shared" si="16"/>
        <v/>
      </c>
      <c r="G113" s="19" t="str">
        <f t="shared" si="17"/>
        <v/>
      </c>
      <c r="H113" s="19" t="str">
        <f t="shared" si="17"/>
        <v/>
      </c>
      <c r="I113" s="19" t="str">
        <f t="shared" si="17"/>
        <v/>
      </c>
      <c r="J113" s="27" t="str">
        <f t="shared" ca="1" si="14"/>
        <v/>
      </c>
      <c r="K113" s="18" t="str">
        <f t="shared" ca="1" si="11"/>
        <v/>
      </c>
      <c r="L113" s="18" t="str">
        <f t="shared" ca="1" si="12"/>
        <v/>
      </c>
      <c r="M113" s="28" t="str">
        <f t="shared" ca="1" si="13"/>
        <v/>
      </c>
    </row>
    <row r="114" spans="1:13" x14ac:dyDescent="0.3">
      <c r="A114" s="27" t="s">
        <v>378</v>
      </c>
      <c r="B114" s="18" t="str">
        <f>IF(COUNTIF('PE names final'!A:A, A114)+COUNTIF('PE porfolio names final'!A:A,A114)=1, "Yes", "Error")</f>
        <v>Yes</v>
      </c>
      <c r="C114" s="18" t="str" cm="1">
        <f t="array" ref="C114">_xlfn.IFS(AND(COUNTIF('PE names final'!A:A,A114)&gt;0,COUNTIF('PE porfolio names final'!A:A,A114)&gt;0),"PE &amp; Portfolio",COUNTIF('PE names final'!A:A,A114)&gt;0,"PE",COUNTIF('PE porfolio names final'!A:A,A114)&gt;0,"Portfolio",TRUE,"")</f>
        <v>PE</v>
      </c>
      <c r="D114" s="19">
        <f>_xlfn.LET(_xlpm.L,IFERROR(_xlfn.XLOOKUP(A114,'PE names final'!A:A,'PE names final'!C:C),_xlfn.XLOOKUP(A114,'PE porfolio names final'!A:A,'PE porfolio names final'!C:C,"")),IF(_xlpm.L=0,"",_xlpm.L))</f>
        <v>46041</v>
      </c>
      <c r="E114" s="19" t="str">
        <f>_xlfn.LET(_xlpm.d,IFERROR(_xlfn.XLOOKUP(A114,'PE names final'!A:A,'PE names final'!D:D),_xlfn.XLOOKUP(A114,'PE porfolio names final'!A:A,'PE porfolio names final'!D:D,"")),IF(_xlpm.d=0,"",IF(_xlpm.d&lt;D114,"Error",_xlpm.d)))</f>
        <v>Got response</v>
      </c>
      <c r="F114" s="19" t="str">
        <f t="shared" ref="F114" si="18">IF(ISNUMBER($E114),D114+14,"")</f>
        <v/>
      </c>
      <c r="G114" s="19" t="str">
        <f t="shared" ref="G114" si="19">IF(ISNUMBER($E114),F114+14,"")</f>
        <v/>
      </c>
      <c r="H114" s="19" t="str">
        <f t="shared" ref="H114" si="20">IF(ISNUMBER($E114),G114+14,"")</f>
        <v/>
      </c>
      <c r="I114" s="19" t="str">
        <f t="shared" ref="I114" si="21">IF(ISNUMBER($E114),H114+14,"")</f>
        <v/>
      </c>
      <c r="J114" s="27" t="str">
        <f t="shared" ref="J114" ca="1" si="22">IF(NOT(ISNUMBER($E114)),"",IF($E114&gt;=F114,"Done",F114-TODAY()))</f>
        <v/>
      </c>
      <c r="K114" s="18" t="str">
        <f t="shared" ref="K114" ca="1" si="23">IF(NOT(ISNUMBER($E114)),"",IF($E114&gt;=G114,"Done",G114-TODAY()))</f>
        <v/>
      </c>
      <c r="L114" s="18" t="str">
        <f t="shared" ref="L114" ca="1" si="24">IF(NOT(ISNUMBER($E114)),"",IF($E114&gt;=H114,"Done",H114-TODAY()))</f>
        <v/>
      </c>
      <c r="M114" s="28" t="str">
        <f t="shared" ref="M114" ca="1" si="25">IF(NOT(ISNUMBER($E114)),"",IF($E114&gt;=I114,"Done",I114-TODAY()))</f>
        <v/>
      </c>
    </row>
    <row r="115" spans="1:13" x14ac:dyDescent="0.3">
      <c r="A115" s="27" t="s">
        <v>786</v>
      </c>
      <c r="B115" s="18" t="str">
        <f>IF(COUNTIF('PE names final'!A:A, A115)+COUNTIF('PE porfolio names final'!A:A,A115)=1, "Yes", "Error")</f>
        <v>Yes</v>
      </c>
      <c r="C115" s="18" t="str" cm="1">
        <f t="array" ref="C115">_xlfn.IFS(AND(COUNTIF('PE names final'!A:A,A115)&gt;0,COUNTIF('PE porfolio names final'!A:A,A115)&gt;0),"PE &amp; Portfolio",COUNTIF('PE names final'!A:A,A115)&gt;0,"PE",COUNTIF('PE porfolio names final'!A:A,A115)&gt;0,"Portfolio",TRUE,"")</f>
        <v>PE</v>
      </c>
      <c r="D115" s="19">
        <f>_xlfn.LET(_xlpm.L,IFERROR(_xlfn.XLOOKUP(A115,'PE names final'!A:A,'PE names final'!C:C),_xlfn.XLOOKUP(A115,'PE porfolio names final'!A:A,'PE porfolio names final'!C:C,"")),IF(_xlpm.L=0,"",_xlpm.L))</f>
        <v>46058</v>
      </c>
      <c r="E115" s="19">
        <f>_xlfn.LET(_xlpm.d,IFERROR(_xlfn.XLOOKUP(A115,'PE names final'!A:A,'PE names final'!D:D),_xlfn.XLOOKUP(A115,'PE porfolio names final'!A:A,'PE porfolio names final'!D:D,"")),IF(_xlpm.d=0,"",IF(_xlpm.d&lt;D115,"Error",_xlpm.d)))</f>
        <v>46114</v>
      </c>
      <c r="F115" s="19">
        <f t="shared" ref="F115" si="26">IF(ISNUMBER($E115),D115+14,"")</f>
        <v>46072</v>
      </c>
      <c r="G115" s="19">
        <f t="shared" ref="G115" si="27">IF(ISNUMBER($E115),F115+14,"")</f>
        <v>46086</v>
      </c>
      <c r="H115" s="19">
        <f t="shared" ref="H115" si="28">IF(ISNUMBER($E115),G115+14,"")</f>
        <v>46100</v>
      </c>
      <c r="I115" s="19">
        <f t="shared" ref="I115" si="29">IF(ISNUMBER($E115),H115+14,"")</f>
        <v>46114</v>
      </c>
      <c r="J115" s="27" t="str">
        <f t="shared" ref="J115" ca="1" si="30">IF(NOT(ISNUMBER($E115)),"",IF($E115&gt;=F115,"Done",F115-TODAY()))</f>
        <v>Done</v>
      </c>
      <c r="K115" s="18" t="str">
        <f t="shared" ref="K115" ca="1" si="31">IF(NOT(ISNUMBER($E115)),"",IF($E115&gt;=G115,"Done",G115-TODAY()))</f>
        <v>Done</v>
      </c>
      <c r="L115" s="18" t="str">
        <f t="shared" ref="L115" ca="1" si="32">IF(NOT(ISNUMBER($E115)),"",IF($E115&gt;=H115,"Done",H115-TODAY()))</f>
        <v>Done</v>
      </c>
      <c r="M115" s="28" t="str">
        <f t="shared" ref="M115" ca="1" si="33">IF(NOT(ISNUMBER($E115)),"",IF($E115&gt;=I115,"Done",I115-TODAY()))</f>
        <v>Done</v>
      </c>
    </row>
    <row r="116" spans="1:13" x14ac:dyDescent="0.3">
      <c r="A116" s="27" t="s">
        <v>793</v>
      </c>
      <c r="B116" s="18" t="str">
        <f>IF(COUNTIF('PE names final'!A:A, A116)+COUNTIF('PE porfolio names final'!A:A,A116)=1, "Yes", "Error")</f>
        <v>Yes</v>
      </c>
      <c r="C116" s="18" t="str" cm="1">
        <f t="array" ref="C116">_xlfn.IFS(AND(COUNTIF('PE names final'!A:A,A116)&gt;0,COUNTIF('PE porfolio names final'!A:A,A116)&gt;0),"PE &amp; Portfolio",COUNTIF('PE names final'!A:A,A116)&gt;0,"PE",COUNTIF('PE porfolio names final'!A:A,A116)&gt;0,"Portfolio",TRUE,"")</f>
        <v>PE</v>
      </c>
      <c r="D116" s="19">
        <f>_xlfn.LET(_xlpm.L,IFERROR(_xlfn.XLOOKUP(A116,'PE names final'!A:A,'PE names final'!C:C),_xlfn.XLOOKUP(A116,'PE porfolio names final'!A:A,'PE porfolio names final'!C:C,"")),IF(_xlpm.L=0,"",_xlpm.L))</f>
        <v>46062</v>
      </c>
      <c r="E116" s="19">
        <f>_xlfn.LET(_xlpm.d,IFERROR(_xlfn.XLOOKUP(A116,'PE names final'!A:A,'PE names final'!D:D),_xlfn.XLOOKUP(A116,'PE porfolio names final'!A:A,'PE porfolio names final'!D:D,"")),IF(_xlpm.d=0,"",IF(_xlpm.d&lt;D116,"Error",_xlpm.d)))</f>
        <v>46120</v>
      </c>
      <c r="F116" s="19">
        <f t="shared" ref="F116" si="34">IF(ISNUMBER($E116),D116+14,"")</f>
        <v>46076</v>
      </c>
      <c r="G116" s="19">
        <f t="shared" ref="G116" si="35">IF(ISNUMBER($E116),F116+14,"")</f>
        <v>46090</v>
      </c>
      <c r="H116" s="19">
        <f t="shared" ref="H116" si="36">IF(ISNUMBER($E116),G116+14,"")</f>
        <v>46104</v>
      </c>
      <c r="I116" s="19">
        <f t="shared" ref="I116" si="37">IF(ISNUMBER($E116),H116+14,"")</f>
        <v>46118</v>
      </c>
      <c r="J116" s="27" t="str">
        <f t="shared" ref="J116" ca="1" si="38">IF(NOT(ISNUMBER($E116)),"",IF($E116&gt;=F116,"Done",F116-TODAY()))</f>
        <v>Done</v>
      </c>
      <c r="K116" s="18" t="str">
        <f t="shared" ref="K116" ca="1" si="39">IF(NOT(ISNUMBER($E116)),"",IF($E116&gt;=G116,"Done",G116-TODAY()))</f>
        <v>Done</v>
      </c>
      <c r="L116" s="18" t="str">
        <f t="shared" ref="L116" ca="1" si="40">IF(NOT(ISNUMBER($E116)),"",IF($E116&gt;=H116,"Done",H116-TODAY()))</f>
        <v>Done</v>
      </c>
      <c r="M116" s="28" t="str">
        <f t="shared" ref="M116" ca="1" si="41">IF(NOT(ISNUMBER($E116)),"",IF($E116&gt;=I116,"Done",I116-TODAY()))</f>
        <v>Done</v>
      </c>
    </row>
    <row r="117" spans="1:13" x14ac:dyDescent="0.3">
      <c r="A117" s="27" t="s">
        <v>798</v>
      </c>
      <c r="B117" s="18" t="str">
        <f>IF(COUNTIF('PE names final'!A:A, A117)+COUNTIF('PE porfolio names final'!A:A,A117)=1, "Yes", "Error")</f>
        <v>Yes</v>
      </c>
      <c r="C117" s="18" t="str" cm="1">
        <f t="array" ref="C117">_xlfn.IFS(AND(COUNTIF('PE names final'!A:A,A117)&gt;0,COUNTIF('PE porfolio names final'!A:A,A117)&gt;0),"PE &amp; Portfolio",COUNTIF('PE names final'!A:A,A117)&gt;0,"PE",COUNTIF('PE porfolio names final'!A:A,A117)&gt;0,"Portfolio",TRUE,"")</f>
        <v>PE</v>
      </c>
      <c r="D117" s="19">
        <f>_xlfn.LET(_xlpm.L,IFERROR(_xlfn.XLOOKUP(A117,'PE names final'!A:A,'PE names final'!C:C),_xlfn.XLOOKUP(A117,'PE porfolio names final'!A:A,'PE porfolio names final'!C:C,"")),IF(_xlpm.L=0,"",_xlpm.L))</f>
        <v>46064</v>
      </c>
      <c r="E117" s="19">
        <f>_xlfn.LET(_xlpm.d,IFERROR(_xlfn.XLOOKUP(A117,'PE names final'!A:A,'PE names final'!D:D),_xlfn.XLOOKUP(A117,'PE porfolio names final'!A:A,'PE porfolio names final'!D:D,"")),IF(_xlpm.d=0,"",IF(_xlpm.d&lt;D117,"Error",_xlpm.d)))</f>
        <v>46120</v>
      </c>
      <c r="F117" s="19">
        <f t="shared" ref="F117" si="42">IF(ISNUMBER($E117),D117+14,"")</f>
        <v>46078</v>
      </c>
      <c r="G117" s="19">
        <f t="shared" ref="G117" si="43">IF(ISNUMBER($E117),F117+14,"")</f>
        <v>46092</v>
      </c>
      <c r="H117" s="19">
        <f t="shared" ref="H117" si="44">IF(ISNUMBER($E117),G117+14,"")</f>
        <v>46106</v>
      </c>
      <c r="I117" s="19">
        <f t="shared" ref="I117" si="45">IF(ISNUMBER($E117),H117+14,"")</f>
        <v>46120</v>
      </c>
      <c r="J117" s="27" t="str">
        <f t="shared" ref="J117" ca="1" si="46">IF(NOT(ISNUMBER($E117)),"",IF($E117&gt;=F117,"Done",F117-TODAY()))</f>
        <v>Done</v>
      </c>
      <c r="K117" s="18" t="str">
        <f t="shared" ref="K117" ca="1" si="47">IF(NOT(ISNUMBER($E117)),"",IF($E117&gt;=G117,"Done",G117-TODAY()))</f>
        <v>Done</v>
      </c>
      <c r="L117" s="18" t="str">
        <f t="shared" ref="L117" ca="1" si="48">IF(NOT(ISNUMBER($E117)),"",IF($E117&gt;=H117,"Done",H117-TODAY()))</f>
        <v>Done</v>
      </c>
      <c r="M117" s="28" t="str">
        <f t="shared" ref="M117" ca="1" si="49">IF(NOT(ISNUMBER($E117)),"",IF($E117&gt;=I117,"Done",I117-TODAY()))</f>
        <v>Done</v>
      </c>
    </row>
    <row r="118" spans="1:13" x14ac:dyDescent="0.3">
      <c r="A118" s="27" t="s">
        <v>803</v>
      </c>
      <c r="B118" s="18" t="str">
        <f>IF(COUNTIF('PE names final'!A:A, A118)+COUNTIF('PE porfolio names final'!A:A,A118)=1, "Yes", "Error")</f>
        <v>Yes</v>
      </c>
      <c r="C118" s="18" t="str" cm="1">
        <f t="array" ref="C118">_xlfn.IFS(AND(COUNTIF('PE names final'!A:A,A118)&gt;0,COUNTIF('PE porfolio names final'!A:A,A118)&gt;0),"PE &amp; Portfolio",COUNTIF('PE names final'!A:A,A118)&gt;0,"PE",COUNTIF('PE porfolio names final'!A:A,A118)&gt;0,"Portfolio",TRUE,"")</f>
        <v>PE</v>
      </c>
      <c r="D118" s="19">
        <f>_xlfn.LET(_xlpm.L,IFERROR(_xlfn.XLOOKUP(A118,'PE names final'!A:A,'PE names final'!C:C),_xlfn.XLOOKUP(A118,'PE porfolio names final'!A:A,'PE porfolio names final'!C:C,"")),IF(_xlpm.L=0,"",_xlpm.L))</f>
        <v>46065</v>
      </c>
      <c r="E118" s="19">
        <f>_xlfn.LET(_xlpm.d,IFERROR(_xlfn.XLOOKUP(A118,'PE names final'!A:A,'PE names final'!D:D),_xlfn.XLOOKUP(A118,'PE porfolio names final'!A:A,'PE porfolio names final'!D:D,"")),IF(_xlpm.d=0,"",IF(_xlpm.d&lt;D118,"Error",_xlpm.d)))</f>
        <v>46121</v>
      </c>
      <c r="F118" s="19">
        <f t="shared" ref="F118" si="50">IF(ISNUMBER($E118),D118+14,"")</f>
        <v>46079</v>
      </c>
      <c r="G118" s="19">
        <f t="shared" ref="G118" si="51">IF(ISNUMBER($E118),F118+14,"")</f>
        <v>46093</v>
      </c>
      <c r="H118" s="19">
        <f t="shared" ref="H118" si="52">IF(ISNUMBER($E118),G118+14,"")</f>
        <v>46107</v>
      </c>
      <c r="I118" s="19">
        <f t="shared" ref="I118" si="53">IF(ISNUMBER($E118),H118+14,"")</f>
        <v>46121</v>
      </c>
      <c r="J118" s="27" t="str">
        <f t="shared" ref="J118" ca="1" si="54">IF(NOT(ISNUMBER($E118)),"",IF($E118&gt;=F118,"Done",F118-TODAY()))</f>
        <v>Done</v>
      </c>
      <c r="K118" s="18" t="str">
        <f t="shared" ref="K118" ca="1" si="55">IF(NOT(ISNUMBER($E118)),"",IF($E118&gt;=G118,"Done",G118-TODAY()))</f>
        <v>Done</v>
      </c>
      <c r="L118" s="18" t="str">
        <f t="shared" ref="L118" ca="1" si="56">IF(NOT(ISNUMBER($E118)),"",IF($E118&gt;=H118,"Done",H118-TODAY()))</f>
        <v>Done</v>
      </c>
      <c r="M118" s="28" t="str">
        <f t="shared" ref="M118" ca="1" si="57">IF(NOT(ISNUMBER($E118)),"",IF($E118&gt;=I118,"Done",I118-TODAY()))</f>
        <v>Done</v>
      </c>
    </row>
    <row r="119" spans="1:13" x14ac:dyDescent="0.3">
      <c r="A119" s="27" t="s">
        <v>810</v>
      </c>
      <c r="B119" s="18" t="str">
        <f>IF(COUNTIF('PE names final'!A:A, A119)+COUNTIF('PE porfolio names final'!A:A,A119)=1, "Yes", "Error")</f>
        <v>Yes</v>
      </c>
      <c r="C119" s="18" t="str" cm="1">
        <f t="array" ref="C119">_xlfn.IFS(AND(COUNTIF('PE names final'!A:A,A119)&gt;0,COUNTIF('PE porfolio names final'!A:A,A119)&gt;0),"PE &amp; Portfolio",COUNTIF('PE names final'!A:A,A119)&gt;0,"PE",COUNTIF('PE porfolio names final'!A:A,A119)&gt;0,"Portfolio",TRUE,"")</f>
        <v>PE</v>
      </c>
      <c r="D119" s="19">
        <f>_xlfn.LET(_xlpm.L,IFERROR(_xlfn.XLOOKUP(A119,'PE names final'!A:A,'PE names final'!C:C),_xlfn.XLOOKUP(A119,'PE porfolio names final'!A:A,'PE porfolio names final'!C:C,"")),IF(_xlpm.L=0,"",_xlpm.L))</f>
        <v>46065</v>
      </c>
      <c r="E119" s="19" t="str">
        <f>_xlfn.LET(_xlpm.d,IFERROR(_xlfn.XLOOKUP(A119,'PE names final'!A:A,'PE names final'!D:D),_xlfn.XLOOKUP(A119,'PE porfolio names final'!A:A,'PE porfolio names final'!D:D,"")),IF(_xlpm.d=0,"",IF(_xlpm.d&lt;D119,"Error",_xlpm.d)))</f>
        <v>Got response</v>
      </c>
      <c r="F119" s="19" t="str">
        <f t="shared" ref="F119:F120" si="58">IF(ISNUMBER($E119),D119+14,"")</f>
        <v/>
      </c>
      <c r="G119" s="19" t="str">
        <f t="shared" ref="G119:G120" si="59">IF(ISNUMBER($E119),F119+14,"")</f>
        <v/>
      </c>
      <c r="H119" s="19" t="str">
        <f t="shared" ref="H119:H120" si="60">IF(ISNUMBER($E119),G119+14,"")</f>
        <v/>
      </c>
      <c r="I119" s="19" t="str">
        <f t="shared" ref="I119:I120" si="61">IF(ISNUMBER($E119),H119+14,"")</f>
        <v/>
      </c>
      <c r="J119" s="27" t="str">
        <f t="shared" ref="J119:J120" ca="1" si="62">IF(NOT(ISNUMBER($E119)),"",IF($E119&gt;=F119,"Done",F119-TODAY()))</f>
        <v/>
      </c>
      <c r="K119" s="18" t="str">
        <f t="shared" ref="K119:K120" ca="1" si="63">IF(NOT(ISNUMBER($E119)),"",IF($E119&gt;=G119,"Done",G119-TODAY()))</f>
        <v/>
      </c>
      <c r="L119" s="18" t="str">
        <f t="shared" ref="L119:L120" ca="1" si="64">IF(NOT(ISNUMBER($E119)),"",IF($E119&gt;=H119,"Done",H119-TODAY()))</f>
        <v/>
      </c>
      <c r="M119" s="28" t="str">
        <f t="shared" ref="M119:M120" ca="1" si="65">IF(NOT(ISNUMBER($E119)),"",IF($E119&gt;=I119,"Done",I119-TODAY()))</f>
        <v/>
      </c>
    </row>
    <row r="120" spans="1:13" x14ac:dyDescent="0.3">
      <c r="A120" s="27" t="s">
        <v>808</v>
      </c>
      <c r="B120" s="18" t="str">
        <f>IF(COUNTIF('PE names final'!A:A, A120)+COUNTIF('PE porfolio names final'!A:A,A120)=1, "Yes", "Error")</f>
        <v>Yes</v>
      </c>
      <c r="C120" s="18" t="str" cm="1">
        <f t="array" ref="C120">_xlfn.IFS(AND(COUNTIF('PE names final'!A:A,A120)&gt;0,COUNTIF('PE porfolio names final'!A:A,A120)&gt;0),"PE &amp; Portfolio",COUNTIF('PE names final'!A:A,A120)&gt;0,"PE",COUNTIF('PE porfolio names final'!A:A,A120)&gt;0,"Portfolio",TRUE,"")</f>
        <v>Portfolio</v>
      </c>
      <c r="D120" s="19">
        <f>_xlfn.LET(_xlpm.L,IFERROR(_xlfn.XLOOKUP(A120,'PE names final'!A:A,'PE names final'!C:C),_xlfn.XLOOKUP(A120,'PE porfolio names final'!A:A,'PE porfolio names final'!C:C,"")),IF(_xlpm.L=0,"",_xlpm.L))</f>
        <v>46065</v>
      </c>
      <c r="E120" s="19" t="str">
        <f>_xlfn.LET(_xlpm.d,IFERROR(_xlfn.XLOOKUP(A120,'PE names final'!A:A,'PE names final'!D:D),_xlfn.XLOOKUP(A120,'PE porfolio names final'!A:A,'PE porfolio names final'!D:D,"")),IF(_xlpm.d=0,"",IF(_xlpm.d&lt;D120,"Error",_xlpm.d)))</f>
        <v>Vishnu got response</v>
      </c>
      <c r="F120" s="19" t="str">
        <f t="shared" si="58"/>
        <v/>
      </c>
      <c r="G120" s="19" t="str">
        <f t="shared" si="59"/>
        <v/>
      </c>
      <c r="H120" s="19" t="str">
        <f t="shared" si="60"/>
        <v/>
      </c>
      <c r="I120" s="19" t="str">
        <f t="shared" si="61"/>
        <v/>
      </c>
      <c r="J120" s="27" t="str">
        <f t="shared" ca="1" si="62"/>
        <v/>
      </c>
      <c r="K120" s="18" t="str">
        <f t="shared" ca="1" si="63"/>
        <v/>
      </c>
      <c r="L120" s="18" t="str">
        <f t="shared" ca="1" si="64"/>
        <v/>
      </c>
      <c r="M120" s="28" t="str">
        <f t="shared" ca="1" si="65"/>
        <v/>
      </c>
    </row>
    <row r="121" spans="1:13" x14ac:dyDescent="0.3">
      <c r="A121" s="27" t="s">
        <v>822</v>
      </c>
      <c r="B121" s="18" t="str">
        <f>IF(COUNTIF('PE names final'!A:A, A121)+COUNTIF('PE porfolio names final'!A:A,A121)=1, "Yes", "Error")</f>
        <v>Yes</v>
      </c>
      <c r="C121" s="18" t="str" cm="1">
        <f t="array" ref="C121">_xlfn.IFS(AND(COUNTIF('PE names final'!A:A,A121)&gt;0,COUNTIF('PE porfolio names final'!A:A,A121)&gt;0),"PE &amp; Portfolio",COUNTIF('PE names final'!A:A,A121)&gt;0,"PE",COUNTIF('PE porfolio names final'!A:A,A121)&gt;0,"Portfolio",TRUE,"")</f>
        <v>Portfolio</v>
      </c>
      <c r="D121" s="19">
        <f>_xlfn.LET(_xlpm.L,IFERROR(_xlfn.XLOOKUP(A121,'PE names final'!A:A,'PE names final'!C:C),_xlfn.XLOOKUP(A121,'PE porfolio names final'!A:A,'PE porfolio names final'!C:C,"")),IF(_xlpm.L=0,"",_xlpm.L))</f>
        <v>46069</v>
      </c>
      <c r="E121" s="19">
        <f>_xlfn.LET(_xlpm.d,IFERROR(_xlfn.XLOOKUP(A121,'PE names final'!A:A,'PE names final'!D:D),_xlfn.XLOOKUP(A121,'PE porfolio names final'!A:A,'PE porfolio names final'!D:D,"")),IF(_xlpm.d=0,"",IF(_xlpm.d&lt;D121,"Error",_xlpm.d)))</f>
        <v>46125</v>
      </c>
      <c r="F121" s="19">
        <f t="shared" ref="F121" si="66">IF(ISNUMBER($E121),D121+14,"")</f>
        <v>46083</v>
      </c>
      <c r="G121" s="19">
        <f t="shared" ref="G121" si="67">IF(ISNUMBER($E121),F121+14,"")</f>
        <v>46097</v>
      </c>
      <c r="H121" s="19">
        <f t="shared" ref="H121" si="68">IF(ISNUMBER($E121),G121+14,"")</f>
        <v>46111</v>
      </c>
      <c r="I121" s="19">
        <f t="shared" ref="I121" si="69">IF(ISNUMBER($E121),H121+14,"")</f>
        <v>46125</v>
      </c>
      <c r="J121" s="27" t="str">
        <f t="shared" ref="J121" ca="1" si="70">IF(NOT(ISNUMBER($E121)),"",IF($E121&gt;=F121,"Done",F121-TODAY()))</f>
        <v>Done</v>
      </c>
      <c r="K121" s="18" t="str">
        <f t="shared" ref="K121" ca="1" si="71">IF(NOT(ISNUMBER($E121)),"",IF($E121&gt;=G121,"Done",G121-TODAY()))</f>
        <v>Done</v>
      </c>
      <c r="L121" s="18" t="str">
        <f t="shared" ref="L121" ca="1" si="72">IF(NOT(ISNUMBER($E121)),"",IF($E121&gt;=H121,"Done",H121-TODAY()))</f>
        <v>Done</v>
      </c>
      <c r="M121" s="28" t="str">
        <f t="shared" ref="M121" ca="1" si="73">IF(NOT(ISNUMBER($E121)),"",IF($E121&gt;=I121,"Done",I121-TODAY()))</f>
        <v>Done</v>
      </c>
    </row>
    <row r="122" spans="1:13" x14ac:dyDescent="0.3">
      <c r="A122" s="27" t="s">
        <v>830</v>
      </c>
      <c r="B122" s="18" t="str">
        <f>IF(COUNTIF('PE names final'!A:A, A122)+COUNTIF('PE porfolio names final'!A:A,A122)=1, "Yes", "Error")</f>
        <v>Yes</v>
      </c>
      <c r="C122" s="18" t="str" cm="1">
        <f t="array" ref="C122">_xlfn.IFS(AND(COUNTIF('PE names final'!A:A,A122)&gt;0,COUNTIF('PE porfolio names final'!A:A,A122)&gt;0),"PE &amp; Portfolio",COUNTIF('PE names final'!A:A,A122)&gt;0,"PE",COUNTIF('PE porfolio names final'!A:A,A122)&gt;0,"Portfolio",TRUE,"")</f>
        <v>Portfolio</v>
      </c>
      <c r="D122" s="19">
        <f>_xlfn.LET(_xlpm.L,IFERROR(_xlfn.XLOOKUP(A122,'PE names final'!A:A,'PE names final'!C:C),_xlfn.XLOOKUP(A122,'PE porfolio names final'!A:A,'PE porfolio names final'!C:C,"")),IF(_xlpm.L=0,"",_xlpm.L))</f>
        <v>46070</v>
      </c>
      <c r="E122" s="19">
        <f>_xlfn.LET(_xlpm.d,IFERROR(_xlfn.XLOOKUP(A122,'PE names final'!A:A,'PE names final'!D:D),_xlfn.XLOOKUP(A122,'PE porfolio names final'!A:A,'PE porfolio names final'!D:D,"")),IF(_xlpm.d=0,"",IF(_xlpm.d&lt;D122,"Error",_xlpm.d)))</f>
        <v>46126</v>
      </c>
      <c r="F122" s="19">
        <f t="shared" ref="F122" si="74">IF(ISNUMBER($E122),D122+14,"")</f>
        <v>46084</v>
      </c>
      <c r="G122" s="19">
        <f t="shared" ref="G122" si="75">IF(ISNUMBER($E122),F122+14,"")</f>
        <v>46098</v>
      </c>
      <c r="H122" s="19">
        <f t="shared" ref="H122" si="76">IF(ISNUMBER($E122),G122+14,"")</f>
        <v>46112</v>
      </c>
      <c r="I122" s="19">
        <f t="shared" ref="I122" si="77">IF(ISNUMBER($E122),H122+14,"")</f>
        <v>46126</v>
      </c>
      <c r="J122" s="27" t="str">
        <f t="shared" ref="J122" ca="1" si="78">IF(NOT(ISNUMBER($E122)),"",IF($E122&gt;=F122,"Done",F122-TODAY()))</f>
        <v>Done</v>
      </c>
      <c r="K122" s="18" t="str">
        <f t="shared" ref="K122" ca="1" si="79">IF(NOT(ISNUMBER($E122)),"",IF($E122&gt;=G122,"Done",G122-TODAY()))</f>
        <v>Done</v>
      </c>
      <c r="L122" s="18" t="str">
        <f t="shared" ref="L122" ca="1" si="80">IF(NOT(ISNUMBER($E122)),"",IF($E122&gt;=H122,"Done",H122-TODAY()))</f>
        <v>Done</v>
      </c>
      <c r="M122" s="28" t="str">
        <f t="shared" ref="M122" ca="1" si="81">IF(NOT(ISNUMBER($E122)),"",IF($E122&gt;=I122,"Done",I122-TODAY()))</f>
        <v>Done</v>
      </c>
    </row>
    <row r="123" spans="1:13" x14ac:dyDescent="0.3">
      <c r="A123" s="27" t="s">
        <v>872</v>
      </c>
      <c r="B123" s="18" t="str">
        <f>IF(COUNTIF('PE names final'!A:A, A123)+COUNTIF('PE porfolio names final'!A:A,A123)=1, "Yes", "Error")</f>
        <v>Yes</v>
      </c>
      <c r="C123" s="18" t="str" cm="1">
        <f t="array" ref="C123">_xlfn.IFS(AND(COUNTIF('PE names final'!A:A,A123)&gt;0,COUNTIF('PE porfolio names final'!A:A,A123)&gt;0),"PE &amp; Portfolio",COUNTIF('PE names final'!A:A,A123)&gt;0,"PE",COUNTIF('PE porfolio names final'!A:A,A123)&gt;0,"Portfolio",TRUE,"")</f>
        <v>PE</v>
      </c>
      <c r="D123" s="19">
        <f>_xlfn.LET(_xlpm.L,IFERROR(_xlfn.XLOOKUP(A123,'PE names final'!A:A,'PE names final'!C:C),_xlfn.XLOOKUP(A123,'PE porfolio names final'!A:A,'PE porfolio names final'!C:C,"")),IF(_xlpm.L=0,"",_xlpm.L))</f>
        <v>46079</v>
      </c>
      <c r="E123" s="19">
        <f>_xlfn.LET(_xlpm.d,IFERROR(_xlfn.XLOOKUP(A123,'PE names final'!A:A,'PE names final'!D:D),_xlfn.XLOOKUP(A123,'PE porfolio names final'!A:A,'PE porfolio names final'!D:D,"")),IF(_xlpm.d=0,"",IF(_xlpm.d&lt;D123,"Error",_xlpm.d)))</f>
        <v>46149</v>
      </c>
      <c r="F123" s="19">
        <f t="shared" ref="F123:F126" si="82">IF(ISNUMBER($E123),D123+14,"")</f>
        <v>46093</v>
      </c>
      <c r="G123" s="19">
        <f t="shared" ref="G123:G126" si="83">IF(ISNUMBER($E123),F123+14,"")</f>
        <v>46107</v>
      </c>
      <c r="H123" s="19">
        <f t="shared" ref="H123:H126" si="84">IF(ISNUMBER($E123),G123+14,"")</f>
        <v>46121</v>
      </c>
      <c r="I123" s="19">
        <f t="shared" ref="I123:I126" si="85">IF(ISNUMBER($E123),H123+14,"")</f>
        <v>46135</v>
      </c>
      <c r="J123" s="27" t="str">
        <f t="shared" ref="J123:J126" ca="1" si="86">IF(NOT(ISNUMBER($E123)),"",IF($E123&gt;=F123,"Done",F123-TODAY()))</f>
        <v>Done</v>
      </c>
      <c r="K123" s="18" t="str">
        <f t="shared" ref="K123:K126" ca="1" si="87">IF(NOT(ISNUMBER($E123)),"",IF($E123&gt;=G123,"Done",G123-TODAY()))</f>
        <v>Done</v>
      </c>
      <c r="L123" s="18" t="str">
        <f t="shared" ref="L123:L126" ca="1" si="88">IF(NOT(ISNUMBER($E123)),"",IF($E123&gt;=H123,"Done",H123-TODAY()))</f>
        <v>Done</v>
      </c>
      <c r="M123" s="28" t="str">
        <f t="shared" ref="M123:M126" ca="1" si="89">IF(NOT(ISNUMBER($E123)),"",IF($E123&gt;=I123,"Done",I123-TODAY()))</f>
        <v>Done</v>
      </c>
    </row>
    <row r="124" spans="1:13" x14ac:dyDescent="0.3">
      <c r="A124" s="27" t="s">
        <v>841</v>
      </c>
      <c r="B124" s="18" t="str">
        <f>IF(COUNTIF('PE names final'!A:A, A124)+COUNTIF('PE porfolio names final'!A:A,A124)=1, "Yes", "Error")</f>
        <v>Yes</v>
      </c>
      <c r="C124" s="18" t="str" cm="1">
        <f t="array" ref="C124">_xlfn.IFS(AND(COUNTIF('PE names final'!A:A,A124)&gt;0,COUNTIF('PE porfolio names final'!A:A,A124)&gt;0),"PE &amp; Portfolio",COUNTIF('PE names final'!A:A,A124)&gt;0,"PE",COUNTIF('PE porfolio names final'!A:A,A124)&gt;0,"Portfolio",TRUE,"")</f>
        <v>Portfolio</v>
      </c>
      <c r="D124" s="19">
        <f>_xlfn.LET(_xlpm.L,IFERROR(_xlfn.XLOOKUP(A124,'PE names final'!A:A,'PE names final'!C:C),_xlfn.XLOOKUP(A124,'PE porfolio names final'!A:A,'PE porfolio names final'!C:C,"")),IF(_xlpm.L=0,"",_xlpm.L))</f>
        <v>46079</v>
      </c>
      <c r="E124" s="19" t="str">
        <f>_xlfn.LET(_xlpm.d,IFERROR(_xlfn.XLOOKUP(A124,'PE names final'!A:A,'PE names final'!D:D),_xlfn.XLOOKUP(A124,'PE porfolio names final'!A:A,'PE porfolio names final'!D:D,"")),IF(_xlpm.d=0,"",IF(_xlpm.d&lt;D124,"Error",_xlpm.d)))</f>
        <v xml:space="preserve">  </v>
      </c>
      <c r="F124" s="19" t="str">
        <f t="shared" si="82"/>
        <v/>
      </c>
      <c r="G124" s="19" t="str">
        <f t="shared" si="83"/>
        <v/>
      </c>
      <c r="H124" s="19" t="str">
        <f t="shared" si="84"/>
        <v/>
      </c>
      <c r="I124" s="19" t="str">
        <f t="shared" si="85"/>
        <v/>
      </c>
      <c r="J124" s="27" t="str">
        <f t="shared" ca="1" si="86"/>
        <v/>
      </c>
      <c r="K124" s="18" t="str">
        <f t="shared" ca="1" si="87"/>
        <v/>
      </c>
      <c r="L124" s="18" t="str">
        <f t="shared" ca="1" si="88"/>
        <v/>
      </c>
      <c r="M124" s="28" t="str">
        <f t="shared" ca="1" si="89"/>
        <v/>
      </c>
    </row>
    <row r="125" spans="1:13" x14ac:dyDescent="0.3">
      <c r="A125" s="27" t="s">
        <v>843</v>
      </c>
      <c r="B125" s="18" t="str">
        <f>IF(COUNTIF('PE names final'!A:A, A125)+COUNTIF('PE porfolio names final'!A:A,A125)=1, "Yes", "Error")</f>
        <v>Yes</v>
      </c>
      <c r="C125" s="18" t="str" cm="1">
        <f t="array" ref="C125">_xlfn.IFS(AND(COUNTIF('PE names final'!A:A,A125)&gt;0,COUNTIF('PE porfolio names final'!A:A,A125)&gt;0),"PE &amp; Portfolio",COUNTIF('PE names final'!A:A,A125)&gt;0,"PE",COUNTIF('PE porfolio names final'!A:A,A125)&gt;0,"Portfolio",TRUE,"")</f>
        <v>Portfolio</v>
      </c>
      <c r="D125" s="19">
        <f>_xlfn.LET(_xlpm.L,IFERROR(_xlfn.XLOOKUP(A125,'PE names final'!A:A,'PE names final'!C:C),_xlfn.XLOOKUP(A125,'PE porfolio names final'!A:A,'PE porfolio names final'!C:C,"")),IF(_xlpm.L=0,"",_xlpm.L))</f>
        <v>46079</v>
      </c>
      <c r="E125" s="19" t="str">
        <f>_xlfn.LET(_xlpm.d,IFERROR(_xlfn.XLOOKUP(A125,'PE names final'!A:A,'PE names final'!D:D),_xlfn.XLOOKUP(A125,'PE porfolio names final'!A:A,'PE porfolio names final'!D:D,"")),IF(_xlpm.d=0,"",IF(_xlpm.d&lt;D125,"Error",_xlpm.d)))</f>
        <v>Bounced</v>
      </c>
      <c r="F125" s="19" t="str">
        <f t="shared" si="82"/>
        <v/>
      </c>
      <c r="G125" s="19" t="str">
        <f t="shared" si="83"/>
        <v/>
      </c>
      <c r="H125" s="19" t="str">
        <f t="shared" si="84"/>
        <v/>
      </c>
      <c r="I125" s="19" t="str">
        <f t="shared" si="85"/>
        <v/>
      </c>
      <c r="J125" s="27" t="str">
        <f t="shared" ca="1" si="86"/>
        <v/>
      </c>
      <c r="K125" s="18" t="str">
        <f t="shared" ca="1" si="87"/>
        <v/>
      </c>
      <c r="L125" s="18" t="str">
        <f t="shared" ca="1" si="88"/>
        <v/>
      </c>
      <c r="M125" s="28" t="str">
        <f t="shared" ca="1" si="89"/>
        <v/>
      </c>
    </row>
    <row r="126" spans="1:13" x14ac:dyDescent="0.3">
      <c r="A126" s="27" t="s">
        <v>846</v>
      </c>
      <c r="B126" s="18" t="str">
        <f>IF(COUNTIF('PE names final'!A:A, A126)+COUNTIF('PE porfolio names final'!A:A,A126)=1, "Yes", "Error")</f>
        <v>Yes</v>
      </c>
      <c r="C126" s="18" t="str" cm="1">
        <f t="array" ref="C126">_xlfn.IFS(AND(COUNTIF('PE names final'!A:A,A126)&gt;0,COUNTIF('PE porfolio names final'!A:A,A126)&gt;0),"PE &amp; Portfolio",COUNTIF('PE names final'!A:A,A126)&gt;0,"PE",COUNTIF('PE porfolio names final'!A:A,A126)&gt;0,"Portfolio",TRUE,"")</f>
        <v>Portfolio</v>
      </c>
      <c r="D126" s="19">
        <f>_xlfn.LET(_xlpm.L,IFERROR(_xlfn.XLOOKUP(A126,'PE names final'!A:A,'PE names final'!C:C),_xlfn.XLOOKUP(A126,'PE porfolio names final'!A:A,'PE porfolio names final'!C:C,"")),IF(_xlpm.L=0,"",_xlpm.L))</f>
        <v>46079</v>
      </c>
      <c r="E126" s="19">
        <f>_xlfn.LET(_xlpm.d,IFERROR(_xlfn.XLOOKUP(A126,'PE names final'!A:A,'PE names final'!D:D),_xlfn.XLOOKUP(A126,'PE porfolio names final'!A:A,'PE porfolio names final'!D:D,"")),IF(_xlpm.d=0,"",IF(_xlpm.d&lt;D126,"Error",_xlpm.d)))</f>
        <v>46149</v>
      </c>
      <c r="F126" s="19">
        <f t="shared" si="82"/>
        <v>46093</v>
      </c>
      <c r="G126" s="19">
        <f t="shared" si="83"/>
        <v>46107</v>
      </c>
      <c r="H126" s="19">
        <f t="shared" si="84"/>
        <v>46121</v>
      </c>
      <c r="I126" s="19">
        <f t="shared" si="85"/>
        <v>46135</v>
      </c>
      <c r="J126" s="27" t="str">
        <f t="shared" ca="1" si="86"/>
        <v>Done</v>
      </c>
      <c r="K126" s="18" t="str">
        <f t="shared" ca="1" si="87"/>
        <v>Done</v>
      </c>
      <c r="L126" s="18" t="str">
        <f t="shared" ca="1" si="88"/>
        <v>Done</v>
      </c>
      <c r="M126" s="28" t="str">
        <f t="shared" ca="1" si="89"/>
        <v>Done</v>
      </c>
    </row>
    <row r="127" spans="1:13" x14ac:dyDescent="0.3">
      <c r="A127" s="27" t="s">
        <v>882</v>
      </c>
      <c r="B127" s="18" t="str">
        <f>IF(COUNTIF('PE names final'!A:A, A127)+COUNTIF('PE porfolio names final'!A:A,A127)=1, "Yes", "Error")</f>
        <v>Yes</v>
      </c>
      <c r="C127" s="18" t="str" cm="1">
        <f t="array" ref="C127">_xlfn.IFS(AND(COUNTIF('PE names final'!A:A,A127)&gt;0,COUNTIF('PE porfolio names final'!A:A,A127)&gt;0),"PE &amp; Portfolio",COUNTIF('PE names final'!A:A,A127)&gt;0,"PE",COUNTIF('PE porfolio names final'!A:A,A127)&gt;0,"Portfolio",TRUE,"")</f>
        <v>Portfolio</v>
      </c>
      <c r="D127" s="19">
        <f>_xlfn.LET(_xlpm.L,IFERROR(_xlfn.XLOOKUP(A127,'PE names final'!A:A,'PE names final'!C:C),_xlfn.XLOOKUP(A127,'PE porfolio names final'!A:A,'PE porfolio names final'!C:C,"")),IF(_xlpm.L=0,"",_xlpm.L))</f>
        <v>46105</v>
      </c>
      <c r="E127" s="19" t="str">
        <f>_xlfn.LET(_xlpm.d,IFERROR(_xlfn.XLOOKUP(A127,'PE names final'!A:A,'PE names final'!D:D),_xlfn.XLOOKUP(A127,'PE porfolio names final'!A:A,'PE porfolio names final'!D:D,"")),IF(_xlpm.d=0,"",IF(_xlpm.d&lt;D127,"Error",_xlpm.d)))</f>
        <v>Vishnu got response</v>
      </c>
      <c r="F127" s="19" t="str">
        <f t="shared" ref="F127:F134" si="90">IF(ISNUMBER($E127),D127+14,"")</f>
        <v/>
      </c>
      <c r="G127" s="19" t="str">
        <f t="shared" ref="G127:G134" si="91">IF(ISNUMBER($E127),F127+14,"")</f>
        <v/>
      </c>
      <c r="H127" s="19" t="str">
        <f t="shared" ref="H127:H134" si="92">IF(ISNUMBER($E127),G127+14,"")</f>
        <v/>
      </c>
      <c r="I127" s="19" t="str">
        <f t="shared" ref="I127:I134" si="93">IF(ISNUMBER($E127),H127+14,"")</f>
        <v/>
      </c>
      <c r="J127" s="27" t="str">
        <f t="shared" ref="J127:J134" ca="1" si="94">IF(NOT(ISNUMBER($E127)),"",IF($E127&gt;=F127,"Done",F127-TODAY()))</f>
        <v/>
      </c>
      <c r="K127" s="18" t="str">
        <f t="shared" ref="K127:K134" ca="1" si="95">IF(NOT(ISNUMBER($E127)),"",IF($E127&gt;=G127,"Done",G127-TODAY()))</f>
        <v/>
      </c>
      <c r="L127" s="18" t="str">
        <f t="shared" ref="L127:L134" ca="1" si="96">IF(NOT(ISNUMBER($E127)),"",IF($E127&gt;=H127,"Done",H127-TODAY()))</f>
        <v/>
      </c>
      <c r="M127" s="28" t="str">
        <f t="shared" ref="M127:M134" ca="1" si="97">IF(NOT(ISNUMBER($E127)),"",IF($E127&gt;=I127,"Done",I127-TODAY()))</f>
        <v/>
      </c>
    </row>
    <row r="128" spans="1:13" x14ac:dyDescent="0.3">
      <c r="A128" s="27" t="s">
        <v>890</v>
      </c>
      <c r="B128" s="18" t="str">
        <f>IF(COUNTIF('PE names final'!A:A, A128)+COUNTIF('PE porfolio names final'!A:A,A128)=1, "Yes", "Error")</f>
        <v>Yes</v>
      </c>
      <c r="C128" s="18" t="str" cm="1">
        <f t="array" ref="C128">_xlfn.IFS(AND(COUNTIF('PE names final'!A:A,A128)&gt;0,COUNTIF('PE porfolio names final'!A:A,A128)&gt;0),"PE &amp; Portfolio",COUNTIF('PE names final'!A:A,A128)&gt;0,"PE",COUNTIF('PE porfolio names final'!A:A,A128)&gt;0,"Portfolio",TRUE,"")</f>
        <v>Portfolio</v>
      </c>
      <c r="D128" s="19">
        <f>_xlfn.LET(_xlpm.L,IFERROR(_xlfn.XLOOKUP(A128,'PE names final'!A:A,'PE names final'!C:C),_xlfn.XLOOKUP(A128,'PE porfolio names final'!A:A,'PE porfolio names final'!C:C,"")),IF(_xlpm.L=0,"",_xlpm.L))</f>
        <v>46105</v>
      </c>
      <c r="E128" s="19" t="str">
        <f>_xlfn.LET(_xlpm.d,IFERROR(_xlfn.XLOOKUP(A128,'PE names final'!A:A,'PE names final'!D:D),_xlfn.XLOOKUP(A128,'PE porfolio names final'!A:A,'PE porfolio names final'!D:D,"")),IF(_xlpm.d=0,"",IF(_xlpm.d&lt;D128,"Error",_xlpm.d)))</f>
        <v>Got response</v>
      </c>
      <c r="F128" s="19" t="str">
        <f t="shared" si="90"/>
        <v/>
      </c>
      <c r="G128" s="19" t="str">
        <f t="shared" si="91"/>
        <v/>
      </c>
      <c r="H128" s="19" t="str">
        <f t="shared" si="92"/>
        <v/>
      </c>
      <c r="I128" s="19" t="str">
        <f t="shared" si="93"/>
        <v/>
      </c>
      <c r="J128" s="27" t="str">
        <f t="shared" ca="1" si="94"/>
        <v/>
      </c>
      <c r="K128" s="18" t="str">
        <f t="shared" ca="1" si="95"/>
        <v/>
      </c>
      <c r="L128" s="18" t="str">
        <f t="shared" ca="1" si="96"/>
        <v/>
      </c>
      <c r="M128" s="28" t="str">
        <f t="shared" ca="1" si="97"/>
        <v/>
      </c>
    </row>
    <row r="129" spans="1:13" x14ac:dyDescent="0.3">
      <c r="A129" s="27" t="s">
        <v>899</v>
      </c>
      <c r="B129" s="18" t="str">
        <f>IF(COUNTIF('PE names final'!A:A, A129)+COUNTIF('PE porfolio names final'!A:A,A129)=1, "Yes", "Error")</f>
        <v>Yes</v>
      </c>
      <c r="C129" s="18" t="str" cm="1">
        <f t="array" ref="C129">_xlfn.IFS(AND(COUNTIF('PE names final'!A:A,A129)&gt;0,COUNTIF('PE porfolio names final'!A:A,A129)&gt;0),"PE &amp; Portfolio",COUNTIF('PE names final'!A:A,A129)&gt;0,"PE",COUNTIF('PE porfolio names final'!A:A,A129)&gt;0,"Portfolio",TRUE,"")</f>
        <v>Portfolio</v>
      </c>
      <c r="D129" s="19">
        <f>_xlfn.LET(_xlpm.L,IFERROR(_xlfn.XLOOKUP(A129,'PE names final'!A:A,'PE names final'!C:C),_xlfn.XLOOKUP(A129,'PE porfolio names final'!A:A,'PE porfolio names final'!C:C,"")),IF(_xlpm.L=0,"",_xlpm.L))</f>
        <v>46106</v>
      </c>
      <c r="E129" s="19">
        <f>_xlfn.LET(_xlpm.d,IFERROR(_xlfn.XLOOKUP(A129,'PE names final'!A:A,'PE names final'!D:D),_xlfn.XLOOKUP(A129,'PE porfolio names final'!A:A,'PE porfolio names final'!D:D,"")),IF(_xlpm.d=0,"",IF(_xlpm.d&lt;D129,"Error",_xlpm.d)))</f>
        <v>46163</v>
      </c>
      <c r="F129" s="19">
        <f t="shared" si="90"/>
        <v>46120</v>
      </c>
      <c r="G129" s="19">
        <f t="shared" si="91"/>
        <v>46134</v>
      </c>
      <c r="H129" s="19">
        <f t="shared" si="92"/>
        <v>46148</v>
      </c>
      <c r="I129" s="19">
        <f t="shared" si="93"/>
        <v>46162</v>
      </c>
      <c r="J129" s="27" t="str">
        <f t="shared" ca="1" si="94"/>
        <v>Done</v>
      </c>
      <c r="K129" s="18" t="str">
        <f t="shared" ca="1" si="95"/>
        <v>Done</v>
      </c>
      <c r="L129" s="18" t="str">
        <f t="shared" ca="1" si="96"/>
        <v>Done</v>
      </c>
      <c r="M129" s="28" t="str">
        <f t="shared" ca="1" si="97"/>
        <v>Done</v>
      </c>
    </row>
    <row r="130" spans="1:13" x14ac:dyDescent="0.3">
      <c r="A130" s="27" t="s">
        <v>906</v>
      </c>
      <c r="B130" s="18" t="str">
        <f>IF(COUNTIF('PE names final'!A:A, A130)+COUNTIF('PE porfolio names final'!A:A,A130)=1, "Yes", "Error")</f>
        <v>Yes</v>
      </c>
      <c r="C130" s="18" t="str" cm="1">
        <f t="array" ref="C130">_xlfn.IFS(AND(COUNTIF('PE names final'!A:A,A130)&gt;0,COUNTIF('PE porfolio names final'!A:A,A130)&gt;0),"PE &amp; Portfolio",COUNTIF('PE names final'!A:A,A130)&gt;0,"PE",COUNTIF('PE porfolio names final'!A:A,A130)&gt;0,"Portfolio",TRUE,"")</f>
        <v>Portfolio</v>
      </c>
      <c r="D130" s="19">
        <f>_xlfn.LET(_xlpm.L,IFERROR(_xlfn.XLOOKUP(A130,'PE names final'!A:A,'PE names final'!C:C),_xlfn.XLOOKUP(A130,'PE porfolio names final'!A:A,'PE porfolio names final'!C:C,"")),IF(_xlpm.L=0,"",_xlpm.L))</f>
        <v>46106</v>
      </c>
      <c r="E130" s="19">
        <f>_xlfn.LET(_xlpm.d,IFERROR(_xlfn.XLOOKUP(A130,'PE names final'!A:A,'PE names final'!D:D),_xlfn.XLOOKUP(A130,'PE porfolio names final'!A:A,'PE porfolio names final'!D:D,"")),IF(_xlpm.d=0,"",IF(_xlpm.d&lt;D130,"Error",_xlpm.d)))</f>
        <v>46163</v>
      </c>
      <c r="F130" s="19">
        <f t="shared" si="90"/>
        <v>46120</v>
      </c>
      <c r="G130" s="19">
        <f t="shared" si="91"/>
        <v>46134</v>
      </c>
      <c r="H130" s="19">
        <f t="shared" si="92"/>
        <v>46148</v>
      </c>
      <c r="I130" s="19">
        <f t="shared" si="93"/>
        <v>46162</v>
      </c>
      <c r="J130" s="27" t="str">
        <f t="shared" ca="1" si="94"/>
        <v>Done</v>
      </c>
      <c r="K130" s="18" t="str">
        <f t="shared" ca="1" si="95"/>
        <v>Done</v>
      </c>
      <c r="L130" s="18" t="str">
        <f t="shared" ca="1" si="96"/>
        <v>Done</v>
      </c>
      <c r="M130" s="28" t="str">
        <f t="shared" ca="1" si="97"/>
        <v>Done</v>
      </c>
    </row>
    <row r="131" spans="1:13" x14ac:dyDescent="0.3">
      <c r="A131" s="27" t="s">
        <v>901</v>
      </c>
      <c r="B131" s="18" t="str">
        <f>IF(COUNTIF('PE names final'!A:A, A131)+COUNTIF('PE porfolio names final'!A:A,A131)=1, "Yes", "Error")</f>
        <v>Yes</v>
      </c>
      <c r="C131" s="18" t="str" cm="1">
        <f t="array" ref="C131">_xlfn.IFS(AND(COUNTIF('PE names final'!A:A,A131)&gt;0,COUNTIF('PE porfolio names final'!A:A,A131)&gt;0),"PE &amp; Portfolio",COUNTIF('PE names final'!A:A,A131)&gt;0,"PE",COUNTIF('PE porfolio names final'!A:A,A131)&gt;0,"Portfolio",TRUE,"")</f>
        <v>Portfolio</v>
      </c>
      <c r="D131" s="19">
        <f>_xlfn.LET(_xlpm.L,IFERROR(_xlfn.XLOOKUP(A131,'PE names final'!A:A,'PE names final'!C:C),_xlfn.XLOOKUP(A131,'PE porfolio names final'!A:A,'PE porfolio names final'!C:C,"")),IF(_xlpm.L=0,"",_xlpm.L))</f>
        <v>46106</v>
      </c>
      <c r="E131" s="19">
        <f>_xlfn.LET(_xlpm.d,IFERROR(_xlfn.XLOOKUP(A131,'PE names final'!A:A,'PE names final'!D:D),_xlfn.XLOOKUP(A131,'PE porfolio names final'!A:A,'PE porfolio names final'!D:D,"")),IF(_xlpm.d=0,"",IF(_xlpm.d&lt;D131,"Error",_xlpm.d)))</f>
        <v>46163</v>
      </c>
      <c r="F131" s="19">
        <f t="shared" si="90"/>
        <v>46120</v>
      </c>
      <c r="G131" s="19">
        <f t="shared" si="91"/>
        <v>46134</v>
      </c>
      <c r="H131" s="19">
        <f t="shared" si="92"/>
        <v>46148</v>
      </c>
      <c r="I131" s="19">
        <f t="shared" si="93"/>
        <v>46162</v>
      </c>
      <c r="J131" s="27" t="str">
        <f t="shared" ca="1" si="94"/>
        <v>Done</v>
      </c>
      <c r="K131" s="18" t="str">
        <f t="shared" ca="1" si="95"/>
        <v>Done</v>
      </c>
      <c r="L131" s="18" t="str">
        <f t="shared" ca="1" si="96"/>
        <v>Done</v>
      </c>
      <c r="M131" s="28" t="str">
        <f t="shared" ca="1" si="97"/>
        <v>Done</v>
      </c>
    </row>
    <row r="132" spans="1:13" x14ac:dyDescent="0.3">
      <c r="A132" s="27" t="s">
        <v>905</v>
      </c>
      <c r="B132" s="18" t="str">
        <f>IF(COUNTIF('PE names final'!A:A, A132)+COUNTIF('PE porfolio names final'!A:A,A132)=1, "Yes", "Error")</f>
        <v>Yes</v>
      </c>
      <c r="C132" s="18" t="str" cm="1">
        <f t="array" ref="C132">_xlfn.IFS(AND(COUNTIF('PE names final'!A:A,A132)&gt;0,COUNTIF('PE porfolio names final'!A:A,A132)&gt;0),"PE &amp; Portfolio",COUNTIF('PE names final'!A:A,A132)&gt;0,"PE",COUNTIF('PE porfolio names final'!A:A,A132)&gt;0,"Portfolio",TRUE,"")</f>
        <v>Portfolio</v>
      </c>
      <c r="D132" s="19">
        <f>_xlfn.LET(_xlpm.L,IFERROR(_xlfn.XLOOKUP(A132,'PE names final'!A:A,'PE names final'!C:C),_xlfn.XLOOKUP(A132,'PE porfolio names final'!A:A,'PE porfolio names final'!C:C,"")),IF(_xlpm.L=0,"",_xlpm.L))</f>
        <v>46106</v>
      </c>
      <c r="E132" s="19" t="str">
        <f>_xlfn.LET(_xlpm.d,IFERROR(_xlfn.XLOOKUP(A132,'PE names final'!A:A,'PE names final'!D:D),_xlfn.XLOOKUP(A132,'PE porfolio names final'!A:A,'PE porfolio names final'!D:D,"")),IF(_xlpm.d=0,"",IF(_xlpm.d&lt;D132,"Error",_xlpm.d)))</f>
        <v>Bounced</v>
      </c>
      <c r="F132" s="19" t="str">
        <f t="shared" si="90"/>
        <v/>
      </c>
      <c r="G132" s="19" t="str">
        <f t="shared" si="91"/>
        <v/>
      </c>
      <c r="H132" s="19" t="str">
        <f t="shared" si="92"/>
        <v/>
      </c>
      <c r="I132" s="19" t="str">
        <f t="shared" si="93"/>
        <v/>
      </c>
      <c r="J132" s="27" t="str">
        <f t="shared" ca="1" si="94"/>
        <v/>
      </c>
      <c r="K132" s="18" t="str">
        <f t="shared" ca="1" si="95"/>
        <v/>
      </c>
      <c r="L132" s="18" t="str">
        <f t="shared" ca="1" si="96"/>
        <v/>
      </c>
      <c r="M132" s="28" t="str">
        <f t="shared" ca="1" si="97"/>
        <v/>
      </c>
    </row>
    <row r="133" spans="1:13" x14ac:dyDescent="0.3">
      <c r="A133" s="27" t="s">
        <v>907</v>
      </c>
      <c r="B133" s="18" t="str">
        <f>IF(COUNTIF('PE names final'!A:A, A133)+COUNTIF('PE porfolio names final'!A:A,A133)=1, "Yes", "Error")</f>
        <v>Yes</v>
      </c>
      <c r="C133" s="18" t="str" cm="1">
        <f t="array" ref="C133">_xlfn.IFS(AND(COUNTIF('PE names final'!A:A,A133)&gt;0,COUNTIF('PE porfolio names final'!A:A,A133)&gt;0),"PE &amp; Portfolio",COUNTIF('PE names final'!A:A,A133)&gt;0,"PE",COUNTIF('PE porfolio names final'!A:A,A133)&gt;0,"Portfolio",TRUE,"")</f>
        <v>Portfolio</v>
      </c>
      <c r="D133" s="19">
        <f>_xlfn.LET(_xlpm.L,IFERROR(_xlfn.XLOOKUP(A133,'PE names final'!A:A,'PE names final'!C:C),_xlfn.XLOOKUP(A133,'PE porfolio names final'!A:A,'PE porfolio names final'!C:C,"")),IF(_xlpm.L=0,"",_xlpm.L))</f>
        <v>46106</v>
      </c>
      <c r="E133" s="19" t="str">
        <f>_xlfn.LET(_xlpm.d,IFERROR(_xlfn.XLOOKUP(A133,'PE names final'!A:A,'PE names final'!D:D),_xlfn.XLOOKUP(A133,'PE porfolio names final'!A:A,'PE porfolio names final'!D:D,"")),IF(_xlpm.d=0,"",IF(_xlpm.d&lt;D133,"Error",_xlpm.d)))</f>
        <v>Got response</v>
      </c>
      <c r="F133" s="19" t="str">
        <f t="shared" si="90"/>
        <v/>
      </c>
      <c r="G133" s="19" t="str">
        <f t="shared" si="91"/>
        <v/>
      </c>
      <c r="H133" s="19" t="str">
        <f t="shared" si="92"/>
        <v/>
      </c>
      <c r="I133" s="19" t="str">
        <f t="shared" si="93"/>
        <v/>
      </c>
      <c r="J133" s="27" t="str">
        <f t="shared" ca="1" si="94"/>
        <v/>
      </c>
      <c r="K133" s="18" t="str">
        <f t="shared" ca="1" si="95"/>
        <v/>
      </c>
      <c r="L133" s="18" t="str">
        <f t="shared" ca="1" si="96"/>
        <v/>
      </c>
      <c r="M133" s="28" t="str">
        <f t="shared" ca="1" si="97"/>
        <v/>
      </c>
    </row>
    <row r="134" spans="1:13" x14ac:dyDescent="0.3">
      <c r="A134" s="27" t="s">
        <v>911</v>
      </c>
      <c r="B134" s="18" t="str">
        <f>IF(COUNTIF('PE names final'!A:A, A134)+COUNTIF('PE porfolio names final'!A:A,A134)=1, "Yes", "Error")</f>
        <v>Yes</v>
      </c>
      <c r="C134" s="18" t="str" cm="1">
        <f t="array" ref="C134">_xlfn.IFS(AND(COUNTIF('PE names final'!A:A,A134)&gt;0,COUNTIF('PE porfolio names final'!A:A,A134)&gt;0),"PE &amp; Portfolio",COUNTIF('PE names final'!A:A,A134)&gt;0,"PE",COUNTIF('PE porfolio names final'!A:A,A134)&gt;0,"Portfolio",TRUE,"")</f>
        <v>Portfolio</v>
      </c>
      <c r="D134" s="19">
        <f>_xlfn.LET(_xlpm.L,IFERROR(_xlfn.XLOOKUP(A134,'PE names final'!A:A,'PE names final'!C:C),_xlfn.XLOOKUP(A134,'PE porfolio names final'!A:A,'PE porfolio names final'!C:C,"")),IF(_xlpm.L=0,"",_xlpm.L))</f>
        <v>46106</v>
      </c>
      <c r="E134" s="19">
        <f>_xlfn.LET(_xlpm.d,IFERROR(_xlfn.XLOOKUP(A134,'PE names final'!A:A,'PE names final'!D:D),_xlfn.XLOOKUP(A134,'PE porfolio names final'!A:A,'PE porfolio names final'!D:D,"")),IF(_xlpm.d=0,"",IF(_xlpm.d&lt;D134,"Error",_xlpm.d)))</f>
        <v>46163</v>
      </c>
      <c r="F134" s="19">
        <f t="shared" si="90"/>
        <v>46120</v>
      </c>
      <c r="G134" s="19">
        <f t="shared" si="91"/>
        <v>46134</v>
      </c>
      <c r="H134" s="19">
        <f t="shared" si="92"/>
        <v>46148</v>
      </c>
      <c r="I134" s="19">
        <f t="shared" si="93"/>
        <v>46162</v>
      </c>
      <c r="J134" s="27" t="str">
        <f t="shared" ca="1" si="94"/>
        <v>Done</v>
      </c>
      <c r="K134" s="18" t="str">
        <f t="shared" ca="1" si="95"/>
        <v>Done</v>
      </c>
      <c r="L134" s="18" t="str">
        <f t="shared" ca="1" si="96"/>
        <v>Done</v>
      </c>
      <c r="M134" s="28" t="str">
        <f t="shared" ca="1" si="97"/>
        <v>Done</v>
      </c>
    </row>
    <row r="135" spans="1:13" x14ac:dyDescent="0.3">
      <c r="A135" s="27" t="s">
        <v>897</v>
      </c>
      <c r="B135" s="18" t="str">
        <f>IF(COUNTIF('PE names final'!A:A, A135)+COUNTIF('PE porfolio names final'!A:A,A135)=1, "Yes", "Error")</f>
        <v>Yes</v>
      </c>
      <c r="C135" s="18" t="str" cm="1">
        <f t="array" ref="C135">_xlfn.IFS(AND(COUNTIF('PE names final'!A:A,A135)&gt;0,COUNTIF('PE porfolio names final'!A:A,A135)&gt;0),"PE &amp; Portfolio",COUNTIF('PE names final'!A:A,A135)&gt;0,"PE",COUNTIF('PE porfolio names final'!A:A,A135)&gt;0,"Portfolio",TRUE,"")</f>
        <v>PE</v>
      </c>
      <c r="D135" s="19">
        <f>_xlfn.LET(_xlpm.L,IFERROR(_xlfn.XLOOKUP(A135,'PE names final'!A:A,'PE names final'!C:C),_xlfn.XLOOKUP(A135,'PE porfolio names final'!A:A,'PE porfolio names final'!C:C,"")),IF(_xlpm.L=0,"",_xlpm.L))</f>
        <v>46106</v>
      </c>
      <c r="E135" s="19" t="str">
        <f>_xlfn.LET(_xlpm.d,IFERROR(_xlfn.XLOOKUP(A135,'PE names final'!A:A,'PE names final'!D:D),_xlfn.XLOOKUP(A135,'PE porfolio names final'!A:A,'PE porfolio names final'!D:D,"")),IF(_xlpm.d=0,"",IF(_xlpm.d&lt;D135,"Error",_xlpm.d)))</f>
        <v>Got response</v>
      </c>
      <c r="F135" s="19" t="str">
        <f t="shared" ref="F135" si="98">IF(ISNUMBER($E135),D135+14,"")</f>
        <v/>
      </c>
      <c r="G135" s="19" t="str">
        <f t="shared" ref="G135" si="99">IF(ISNUMBER($E135),F135+14,"")</f>
        <v/>
      </c>
      <c r="H135" s="19" t="str">
        <f t="shared" ref="H135" si="100">IF(ISNUMBER($E135),G135+14,"")</f>
        <v/>
      </c>
      <c r="I135" s="19" t="str">
        <f t="shared" ref="I135" si="101">IF(ISNUMBER($E135),H135+14,"")</f>
        <v/>
      </c>
      <c r="J135" s="27" t="str">
        <f t="shared" ref="J135" ca="1" si="102">IF(NOT(ISNUMBER($E135)),"",IF($E135&gt;=F135,"Done",F135-TODAY()))</f>
        <v/>
      </c>
      <c r="K135" s="18" t="str">
        <f t="shared" ref="K135" ca="1" si="103">IF(NOT(ISNUMBER($E135)),"",IF($E135&gt;=G135,"Done",G135-TODAY()))</f>
        <v/>
      </c>
      <c r="L135" s="18" t="str">
        <f t="shared" ref="L135" ca="1" si="104">IF(NOT(ISNUMBER($E135)),"",IF($E135&gt;=H135,"Done",H135-TODAY()))</f>
        <v/>
      </c>
      <c r="M135" s="28" t="str">
        <f t="shared" ref="M135" ca="1" si="105">IF(NOT(ISNUMBER($E135)),"",IF($E135&gt;=I135,"Done",I135-TODAY()))</f>
        <v/>
      </c>
    </row>
    <row r="136" spans="1:13" x14ac:dyDescent="0.3">
      <c r="A136" s="27" t="s">
        <v>943</v>
      </c>
      <c r="B136" s="18" t="str">
        <f>IF(COUNTIF('PE names final'!A:A, A136)+COUNTIF('PE porfolio names final'!A:A,A136)=1, "Yes", "Error")</f>
        <v>Yes</v>
      </c>
      <c r="C136" s="18" t="str" cm="1">
        <f t="array" ref="C136">_xlfn.IFS(AND(COUNTIF('PE names final'!A:A,A136)&gt;0,COUNTIF('PE porfolio names final'!A:A,A136)&gt;0),"PE &amp; Portfolio",COUNTIF('PE names final'!A:A,A136)&gt;0,"PE",COUNTIF('PE porfolio names final'!A:A,A136)&gt;0,"Portfolio",TRUE,"")</f>
        <v>Portfolio</v>
      </c>
      <c r="D136" s="19">
        <f>_xlfn.LET(_xlpm.L,IFERROR(_xlfn.XLOOKUP(A136,'PE names final'!A:A,'PE names final'!C:C),_xlfn.XLOOKUP(A136,'PE porfolio names final'!A:A,'PE porfolio names final'!C:C,"")),IF(_xlpm.L=0,"",_xlpm.L))</f>
        <v>46163</v>
      </c>
      <c r="E136" s="19" t="str">
        <f>_xlfn.LET(_xlpm.d,IFERROR(_xlfn.XLOOKUP(A136,'PE names final'!A:A,'PE names final'!D:D),_xlfn.XLOOKUP(A136,'PE porfolio names final'!A:A,'PE porfolio names final'!D:D,"")),IF(_xlpm.d=0,"",IF(_xlpm.d&lt;D136,"Error",_xlpm.d)))</f>
        <v>Got response</v>
      </c>
      <c r="F136" s="19" t="str">
        <f t="shared" ref="F136" si="106">IF(ISNUMBER($E136),D136+14,"")</f>
        <v/>
      </c>
      <c r="G136" s="19" t="str">
        <f t="shared" ref="G136" si="107">IF(ISNUMBER($E136),F136+14,"")</f>
        <v/>
      </c>
      <c r="H136" s="19" t="str">
        <f t="shared" ref="H136" si="108">IF(ISNUMBER($E136),G136+14,"")</f>
        <v/>
      </c>
      <c r="I136" s="19" t="str">
        <f t="shared" ref="I136" si="109">IF(ISNUMBER($E136),H136+14,"")</f>
        <v/>
      </c>
      <c r="J136" s="27" t="str">
        <f t="shared" ref="J136" ca="1" si="110">IF(NOT(ISNUMBER($E136)),"",IF($E136&gt;=F136,"Done",F136-TODAY()))</f>
        <v/>
      </c>
      <c r="K136" s="18" t="str">
        <f t="shared" ref="K136" ca="1" si="111">IF(NOT(ISNUMBER($E136)),"",IF($E136&gt;=G136,"Done",G136-TODAY()))</f>
        <v/>
      </c>
      <c r="L136" s="18" t="str">
        <f t="shared" ref="L136" ca="1" si="112">IF(NOT(ISNUMBER($E136)),"",IF($E136&gt;=H136,"Done",H136-TODAY()))</f>
        <v/>
      </c>
      <c r="M136" s="28" t="str">
        <f t="shared" ref="M136" ca="1" si="113">IF(NOT(ISNUMBER($E136)),"",IF($E136&gt;=I136,"Done",I136-TODAY()))</f>
        <v/>
      </c>
    </row>
  </sheetData>
  <autoFilter ref="A6:M136" xr:uid="{2E0E49DE-A5CB-45C4-9EB8-3B13712D42B3}"/>
  <phoneticPr fontId="7" type="noConversion"/>
  <conditionalFormatting sqref="A1 A4:A1048576">
    <cfRule type="duplicateValues" dxfId="14" priority="25"/>
  </conditionalFormatting>
  <conditionalFormatting sqref="B5">
    <cfRule type="expression" dxfId="13" priority="18">
      <formula>$B$5="Error"</formula>
    </cfRule>
    <cfRule type="expression" dxfId="12" priority="19">
      <formula>$B$5="Go"</formula>
    </cfRule>
  </conditionalFormatting>
  <conditionalFormatting sqref="C5">
    <cfRule type="expression" dxfId="11" priority="15">
      <formula>$C$5="Error"</formula>
    </cfRule>
    <cfRule type="expression" dxfId="10" priority="17">
      <formula>$C$5="Go"</formula>
    </cfRule>
  </conditionalFormatting>
  <conditionalFormatting sqref="D7:M136">
    <cfRule type="expression" dxfId="9" priority="5">
      <formula>D7&lt;&gt;""</formula>
    </cfRule>
    <cfRule type="expression" dxfId="8" priority="6">
      <formula>D7=""</formula>
    </cfRule>
  </conditionalFormatting>
  <conditionalFormatting sqref="E5">
    <cfRule type="expression" dxfId="7" priority="1">
      <formula>$E$5="Error"</formula>
    </cfRule>
    <cfRule type="expression" dxfId="6" priority="2">
      <formula>$E$5="Go"</formula>
    </cfRule>
  </conditionalFormatting>
  <conditionalFormatting sqref="J7:M136">
    <cfRule type="expression" dxfId="5" priority="7">
      <formula>AND(ISNUMBER(J7),J7&lt;0)</formula>
    </cfRule>
    <cfRule type="expression" dxfId="4" priority="8">
      <formula>AND(ISNUMBER(J7),J7&gt;=0,J7&lt;=5)</formula>
    </cfRule>
    <cfRule type="expression" dxfId="3" priority="9">
      <formula>J7="Done"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E104-8448-44C2-AF43-F61467AC55D0}">
  <dimension ref="A1"/>
  <sheetViews>
    <sheetView workbookViewId="0"/>
  </sheetViews>
  <sheetFormatPr defaultColWidth="8.7265625" defaultRowHeight="12" x14ac:dyDescent="0.3"/>
  <cols>
    <col min="1" max="16384" width="8.7265625" style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0DF00-3295-4DFC-BB72-6DF048F98994}">
  <dimension ref="A1:F32"/>
  <sheetViews>
    <sheetView workbookViewId="0"/>
  </sheetViews>
  <sheetFormatPr defaultColWidth="8.7265625" defaultRowHeight="12" x14ac:dyDescent="0.3"/>
  <cols>
    <col min="1" max="1" width="5.1796875" style="13" bestFit="1" customWidth="1"/>
    <col min="2" max="2" width="34.81640625" style="1" bestFit="1" customWidth="1"/>
    <col min="3" max="3" width="34.81640625" style="1" customWidth="1"/>
    <col min="4" max="4" width="34.1796875" style="1" bestFit="1" customWidth="1"/>
    <col min="5" max="5" width="51.7265625" style="1" bestFit="1" customWidth="1"/>
    <col min="6" max="6" width="116.26953125" style="1" bestFit="1" customWidth="1"/>
    <col min="7" max="7" width="10.7265625" style="1" bestFit="1" customWidth="1"/>
    <col min="8" max="8" width="10" style="1" bestFit="1" customWidth="1"/>
    <col min="9" max="9" width="11.1796875" style="1" bestFit="1" customWidth="1"/>
    <col min="10" max="10" width="34.1796875" style="1" bestFit="1" customWidth="1"/>
    <col min="11" max="11" width="10" style="1" bestFit="1" customWidth="1"/>
    <col min="12" max="12" width="11.1796875" style="1" bestFit="1" customWidth="1"/>
    <col min="13" max="13" width="34.1796875" style="1" bestFit="1" customWidth="1"/>
    <col min="14" max="16384" width="8.7265625" style="1"/>
  </cols>
  <sheetData>
    <row r="1" spans="1:6" x14ac:dyDescent="0.3">
      <c r="B1" s="2" t="s">
        <v>648</v>
      </c>
      <c r="C1" s="2"/>
    </row>
    <row r="4" spans="1:6" x14ac:dyDescent="0.3">
      <c r="A4" s="14" t="s">
        <v>649</v>
      </c>
      <c r="B4" s="14" t="s">
        <v>642</v>
      </c>
      <c r="C4" s="14" t="s">
        <v>2</v>
      </c>
      <c r="D4" s="14" t="s">
        <v>650</v>
      </c>
      <c r="E4" s="14" t="s">
        <v>14</v>
      </c>
      <c r="F4" s="14" t="s">
        <v>651</v>
      </c>
    </row>
    <row r="5" spans="1:6" x14ac:dyDescent="0.3">
      <c r="A5" s="15">
        <v>1</v>
      </c>
      <c r="B5" s="16" t="s">
        <v>91</v>
      </c>
      <c r="C5" s="16" t="s">
        <v>92</v>
      </c>
      <c r="D5" s="16" t="s">
        <v>93</v>
      </c>
      <c r="E5" s="16" t="s">
        <v>79</v>
      </c>
      <c r="F5" s="16"/>
    </row>
    <row r="6" spans="1:6" x14ac:dyDescent="0.3">
      <c r="A6" s="15">
        <v>2</v>
      </c>
      <c r="B6" s="16" t="s">
        <v>74</v>
      </c>
      <c r="C6" s="16" t="s">
        <v>652</v>
      </c>
      <c r="D6" s="16" t="s">
        <v>75</v>
      </c>
      <c r="E6" s="16" t="s">
        <v>79</v>
      </c>
      <c r="F6" s="16"/>
    </row>
    <row r="7" spans="1:6" x14ac:dyDescent="0.3">
      <c r="A7" s="15">
        <v>3</v>
      </c>
      <c r="B7" s="16" t="s">
        <v>193</v>
      </c>
      <c r="C7" s="16" t="s">
        <v>194</v>
      </c>
      <c r="D7" s="16" t="s">
        <v>195</v>
      </c>
      <c r="E7" s="16" t="s">
        <v>79</v>
      </c>
      <c r="F7" s="16" t="s">
        <v>653</v>
      </c>
    </row>
    <row r="8" spans="1:6" x14ac:dyDescent="0.3">
      <c r="A8" s="15">
        <v>4</v>
      </c>
      <c r="B8" s="16" t="s">
        <v>233</v>
      </c>
      <c r="C8" s="16" t="s">
        <v>28</v>
      </c>
      <c r="D8" s="16" t="s">
        <v>234</v>
      </c>
      <c r="E8" s="16" t="s">
        <v>79</v>
      </c>
      <c r="F8" s="16"/>
    </row>
    <row r="9" spans="1:6" x14ac:dyDescent="0.3">
      <c r="A9" s="15">
        <v>5</v>
      </c>
      <c r="B9" s="16" t="s">
        <v>149</v>
      </c>
      <c r="C9" s="16" t="s">
        <v>16</v>
      </c>
      <c r="D9" s="16" t="s">
        <v>150</v>
      </c>
      <c r="E9" s="16" t="s">
        <v>102</v>
      </c>
      <c r="F9" s="16" t="s">
        <v>654</v>
      </c>
    </row>
    <row r="10" spans="1:6" x14ac:dyDescent="0.3">
      <c r="A10" s="15">
        <v>6</v>
      </c>
      <c r="B10" s="16" t="s">
        <v>187</v>
      </c>
      <c r="C10" s="16" t="s">
        <v>16</v>
      </c>
      <c r="D10" s="16" t="s">
        <v>188</v>
      </c>
      <c r="E10" s="16" t="s">
        <v>102</v>
      </c>
      <c r="F10" s="16" t="s">
        <v>655</v>
      </c>
    </row>
    <row r="11" spans="1:6" x14ac:dyDescent="0.3">
      <c r="A11" s="15">
        <v>7</v>
      </c>
      <c r="B11" s="16" t="s">
        <v>206</v>
      </c>
      <c r="C11" s="16" t="s">
        <v>182</v>
      </c>
      <c r="D11" s="16" t="s">
        <v>207</v>
      </c>
      <c r="E11" s="16" t="s">
        <v>79</v>
      </c>
      <c r="F11" s="16" t="s">
        <v>656</v>
      </c>
    </row>
    <row r="12" spans="1:6" x14ac:dyDescent="0.3">
      <c r="A12" s="15">
        <v>8</v>
      </c>
      <c r="B12" s="16" t="s">
        <v>620</v>
      </c>
      <c r="C12" s="16" t="s">
        <v>28</v>
      </c>
      <c r="D12" s="16" t="s">
        <v>622</v>
      </c>
      <c r="E12" s="16" t="s">
        <v>79</v>
      </c>
      <c r="F12" s="16"/>
    </row>
    <row r="13" spans="1:6" x14ac:dyDescent="0.3">
      <c r="A13" s="15">
        <v>9</v>
      </c>
      <c r="B13" s="16" t="s">
        <v>132</v>
      </c>
      <c r="C13" s="16" t="s">
        <v>133</v>
      </c>
      <c r="D13" s="16" t="s">
        <v>134</v>
      </c>
      <c r="E13" s="16" t="s">
        <v>79</v>
      </c>
      <c r="F13" s="16"/>
    </row>
    <row r="14" spans="1:6" x14ac:dyDescent="0.3">
      <c r="A14" s="15">
        <v>10</v>
      </c>
      <c r="B14" s="16" t="s">
        <v>97</v>
      </c>
      <c r="C14" s="16" t="s">
        <v>16</v>
      </c>
      <c r="D14" s="16" t="s">
        <v>98</v>
      </c>
      <c r="E14" s="16" t="s">
        <v>102</v>
      </c>
      <c r="F14" s="16" t="s">
        <v>657</v>
      </c>
    </row>
    <row r="15" spans="1:6" x14ac:dyDescent="0.3">
      <c r="A15" s="15">
        <v>11</v>
      </c>
      <c r="B15" s="16" t="s">
        <v>120</v>
      </c>
      <c r="C15" s="16" t="s">
        <v>121</v>
      </c>
      <c r="D15" s="16" t="s">
        <v>122</v>
      </c>
      <c r="E15" s="16" t="s">
        <v>79</v>
      </c>
      <c r="F15" s="16"/>
    </row>
    <row r="16" spans="1:6" x14ac:dyDescent="0.3">
      <c r="A16" s="15">
        <v>28</v>
      </c>
      <c r="B16" s="16" t="s">
        <v>113</v>
      </c>
      <c r="C16" s="16" t="s">
        <v>28</v>
      </c>
      <c r="D16" s="16" t="s">
        <v>115</v>
      </c>
      <c r="E16" s="16" t="s">
        <v>79</v>
      </c>
      <c r="F16" s="16"/>
    </row>
    <row r="17" spans="1:6" x14ac:dyDescent="0.3">
      <c r="A17" s="15">
        <v>12</v>
      </c>
      <c r="B17" s="16" t="s">
        <v>154</v>
      </c>
      <c r="C17" s="16" t="s">
        <v>16</v>
      </c>
      <c r="D17" s="16" t="s">
        <v>155</v>
      </c>
      <c r="E17" s="16" t="s">
        <v>102</v>
      </c>
      <c r="F17" s="16" t="s">
        <v>658</v>
      </c>
    </row>
    <row r="18" spans="1:6" x14ac:dyDescent="0.3">
      <c r="A18" s="15">
        <v>13</v>
      </c>
      <c r="B18" s="16" t="s">
        <v>221</v>
      </c>
      <c r="C18" s="16" t="s">
        <v>28</v>
      </c>
      <c r="D18" s="16" t="s">
        <v>222</v>
      </c>
      <c r="E18" s="16" t="s">
        <v>79</v>
      </c>
      <c r="F18" s="16" t="s">
        <v>659</v>
      </c>
    </row>
    <row r="19" spans="1:6" x14ac:dyDescent="0.3">
      <c r="A19" s="15">
        <v>14</v>
      </c>
      <c r="B19" s="16" t="s">
        <v>138</v>
      </c>
      <c r="C19" s="16" t="s">
        <v>28</v>
      </c>
      <c r="D19" s="16" t="s">
        <v>139</v>
      </c>
      <c r="E19" s="16" t="s">
        <v>79</v>
      </c>
      <c r="F19" s="16"/>
    </row>
    <row r="20" spans="1:6" x14ac:dyDescent="0.3">
      <c r="A20" s="15">
        <v>15</v>
      </c>
      <c r="B20" s="16" t="s">
        <v>200</v>
      </c>
      <c r="C20" s="16" t="s">
        <v>201</v>
      </c>
      <c r="D20" s="16" t="s">
        <v>202</v>
      </c>
      <c r="E20" s="16" t="s">
        <v>102</v>
      </c>
      <c r="F20" s="16" t="s">
        <v>660</v>
      </c>
    </row>
    <row r="21" spans="1:6" x14ac:dyDescent="0.3">
      <c r="A21" s="15">
        <v>16</v>
      </c>
      <c r="B21" s="16" t="s">
        <v>80</v>
      </c>
      <c r="C21" s="16" t="s">
        <v>16</v>
      </c>
      <c r="D21" s="16" t="s">
        <v>81</v>
      </c>
      <c r="E21" s="16" t="s">
        <v>102</v>
      </c>
      <c r="F21" s="16" t="s">
        <v>661</v>
      </c>
    </row>
    <row r="22" spans="1:6" x14ac:dyDescent="0.3">
      <c r="A22" s="15">
        <v>17</v>
      </c>
      <c r="B22" s="16" t="s">
        <v>143</v>
      </c>
      <c r="C22" s="16" t="s">
        <v>121</v>
      </c>
      <c r="D22" s="16" t="s">
        <v>144</v>
      </c>
      <c r="E22" s="16" t="s">
        <v>79</v>
      </c>
      <c r="F22" s="16"/>
    </row>
    <row r="23" spans="1:6" x14ac:dyDescent="0.3">
      <c r="A23" s="15">
        <v>18</v>
      </c>
      <c r="B23" s="16" t="s">
        <v>227</v>
      </c>
      <c r="C23" s="16" t="s">
        <v>28</v>
      </c>
      <c r="D23" s="16" t="s">
        <v>228</v>
      </c>
      <c r="E23" s="16" t="s">
        <v>79</v>
      </c>
      <c r="F23" s="16"/>
    </row>
    <row r="24" spans="1:6" x14ac:dyDescent="0.3">
      <c r="A24" s="15">
        <v>19</v>
      </c>
      <c r="B24" s="16" t="s">
        <v>103</v>
      </c>
      <c r="C24" s="16" t="s">
        <v>16</v>
      </c>
      <c r="D24" s="16" t="s">
        <v>104</v>
      </c>
      <c r="E24" s="16" t="s">
        <v>102</v>
      </c>
      <c r="F24" s="16" t="s">
        <v>662</v>
      </c>
    </row>
    <row r="25" spans="1:6" x14ac:dyDescent="0.3">
      <c r="A25" s="15">
        <v>20</v>
      </c>
      <c r="B25" s="16" t="s">
        <v>174</v>
      </c>
      <c r="C25" s="16" t="s">
        <v>175</v>
      </c>
      <c r="D25" s="16" t="s">
        <v>176</v>
      </c>
      <c r="E25" s="16" t="s">
        <v>79</v>
      </c>
      <c r="F25" s="16"/>
    </row>
    <row r="26" spans="1:6" x14ac:dyDescent="0.3">
      <c r="A26" s="15">
        <v>21</v>
      </c>
      <c r="B26" s="16" t="s">
        <v>216</v>
      </c>
      <c r="C26" s="16" t="s">
        <v>28</v>
      </c>
      <c r="D26" s="16" t="s">
        <v>217</v>
      </c>
      <c r="E26" s="16" t="s">
        <v>79</v>
      </c>
      <c r="F26" s="16"/>
    </row>
    <row r="27" spans="1:6" x14ac:dyDescent="0.3">
      <c r="A27" s="15">
        <v>22</v>
      </c>
      <c r="B27" s="16" t="s">
        <v>108</v>
      </c>
      <c r="C27" s="16" t="s">
        <v>16</v>
      </c>
      <c r="D27" s="16" t="s">
        <v>109</v>
      </c>
      <c r="E27" s="16" t="s">
        <v>102</v>
      </c>
      <c r="F27" s="16" t="s">
        <v>663</v>
      </c>
    </row>
    <row r="28" spans="1:6" x14ac:dyDescent="0.3">
      <c r="A28" s="15">
        <v>23</v>
      </c>
      <c r="B28" s="16" t="s">
        <v>165</v>
      </c>
      <c r="C28" s="16" t="s">
        <v>16</v>
      </c>
      <c r="D28" s="16" t="s">
        <v>166</v>
      </c>
      <c r="E28" s="16" t="s">
        <v>102</v>
      </c>
      <c r="F28" s="16" t="s">
        <v>664</v>
      </c>
    </row>
    <row r="29" spans="1:6" x14ac:dyDescent="0.3">
      <c r="A29" s="15">
        <v>24</v>
      </c>
      <c r="B29" s="16" t="s">
        <v>181</v>
      </c>
      <c r="C29" s="16" t="s">
        <v>182</v>
      </c>
      <c r="D29" s="16" t="s">
        <v>183</v>
      </c>
      <c r="E29" s="16" t="s">
        <v>79</v>
      </c>
      <c r="F29" s="16"/>
    </row>
    <row r="30" spans="1:6" x14ac:dyDescent="0.3">
      <c r="A30" s="15">
        <v>25</v>
      </c>
      <c r="B30" s="16" t="s">
        <v>127</v>
      </c>
      <c r="C30" s="16" t="s">
        <v>28</v>
      </c>
      <c r="D30" s="16" t="s">
        <v>128</v>
      </c>
      <c r="E30" s="16" t="s">
        <v>79</v>
      </c>
      <c r="F30" s="16"/>
    </row>
    <row r="31" spans="1:6" x14ac:dyDescent="0.3">
      <c r="A31" s="15">
        <v>26</v>
      </c>
      <c r="B31" s="16" t="s">
        <v>211</v>
      </c>
      <c r="C31" s="16" t="s">
        <v>28</v>
      </c>
      <c r="D31" s="16" t="s">
        <v>212</v>
      </c>
      <c r="E31" s="16" t="s">
        <v>79</v>
      </c>
      <c r="F31" s="16"/>
    </row>
    <row r="32" spans="1:6" x14ac:dyDescent="0.3">
      <c r="A32" s="15">
        <v>27</v>
      </c>
      <c r="B32" s="16" t="s">
        <v>159</v>
      </c>
      <c r="C32" s="16" t="s">
        <v>16</v>
      </c>
      <c r="D32" s="16" t="s">
        <v>160</v>
      </c>
      <c r="E32" s="16" t="s">
        <v>102</v>
      </c>
      <c r="F32" s="16" t="s">
        <v>665</v>
      </c>
    </row>
  </sheetData>
  <autoFilter ref="A4:F32" xr:uid="{2E60DF00-3295-4DFC-BB72-6DF048F9899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E353-C6A1-49B7-8BE1-477704C8200E}">
  <dimension ref="A3:M38"/>
  <sheetViews>
    <sheetView workbookViewId="0"/>
  </sheetViews>
  <sheetFormatPr defaultColWidth="8.7265625" defaultRowHeight="12" outlineLevelCol="1" x14ac:dyDescent="0.3"/>
  <cols>
    <col min="1" max="1" width="24.54296875" style="1" bestFit="1" customWidth="1" outlineLevel="1"/>
    <col min="2" max="2" width="10.453125" style="1" bestFit="1" customWidth="1" outlineLevel="1"/>
    <col min="3" max="3" width="10.7265625" style="1" customWidth="1" outlineLevel="1"/>
    <col min="4" max="4" width="8.7265625" style="1" outlineLevel="1"/>
    <col min="5" max="5" width="24.54296875" style="1" bestFit="1" customWidth="1"/>
    <col min="6" max="6" width="10.453125" style="1" bestFit="1" customWidth="1"/>
    <col min="7" max="8" width="8.7265625" style="1"/>
    <col min="9" max="9" width="24.54296875" style="1" bestFit="1" customWidth="1"/>
    <col min="10" max="10" width="20.81640625" style="1" bestFit="1" customWidth="1"/>
    <col min="11" max="11" width="20.1796875" style="1" bestFit="1" customWidth="1"/>
    <col min="12" max="12" width="25.26953125" style="1" bestFit="1" customWidth="1"/>
    <col min="13" max="16384" width="8.7265625" style="1"/>
  </cols>
  <sheetData>
    <row r="3" spans="1:13" x14ac:dyDescent="0.3">
      <c r="A3" s="10" t="s">
        <v>393</v>
      </c>
      <c r="B3" s="10" t="s">
        <v>666</v>
      </c>
      <c r="C3" s="2"/>
      <c r="E3" s="10" t="s">
        <v>393</v>
      </c>
      <c r="F3" s="10" t="s">
        <v>666</v>
      </c>
      <c r="I3" s="10" t="s">
        <v>393</v>
      </c>
      <c r="J3" s="10" t="s">
        <v>401</v>
      </c>
      <c r="K3" s="10" t="s">
        <v>454</v>
      </c>
      <c r="L3" s="10" t="s">
        <v>462</v>
      </c>
      <c r="M3" s="10" t="s">
        <v>667</v>
      </c>
    </row>
    <row r="4" spans="1:13" x14ac:dyDescent="0.3">
      <c r="A4" s="1" t="s">
        <v>57</v>
      </c>
      <c r="B4" s="11">
        <f>COUNTIF('PE porfolio names final'!$R:$R,'PE summary analysis'!$A4)</f>
        <v>2</v>
      </c>
      <c r="E4" s="1" t="s">
        <v>27</v>
      </c>
      <c r="F4" s="11">
        <f t="shared" ref="F4:F37" si="0">_xlfn.XLOOKUP(E4,A:A,B:B)</f>
        <v>5</v>
      </c>
      <c r="I4" s="1" t="s">
        <v>27</v>
      </c>
      <c r="J4" s="11">
        <f>COUNTIFS('PE porfolio names final'!$R:$R,$I4,'PE porfolio names final'!$T:$T,J$3)</f>
        <v>1</v>
      </c>
      <c r="K4" s="11">
        <f>COUNTIFS('PE porfolio names final'!$R:$R,$I4,'PE porfolio names final'!$T:$T,K$3)</f>
        <v>1</v>
      </c>
      <c r="L4" s="11">
        <f>COUNTIFS('PE porfolio names final'!$R:$R,$I4,'PE porfolio names final'!$T:$T,L$3)</f>
        <v>3</v>
      </c>
      <c r="M4" s="12">
        <f t="shared" ref="M4:M37" si="1">SUM(J4:L4)</f>
        <v>5</v>
      </c>
    </row>
    <row r="5" spans="1:13" x14ac:dyDescent="0.3">
      <c r="A5" s="1" t="s">
        <v>272</v>
      </c>
      <c r="B5" s="11">
        <f>COUNTIF('PE porfolio names final'!$R:$R,'PE summary analysis'!$A5)</f>
        <v>1</v>
      </c>
      <c r="E5" s="1" t="s">
        <v>57</v>
      </c>
      <c r="F5" s="11">
        <f t="shared" si="0"/>
        <v>2</v>
      </c>
      <c r="I5" s="1" t="s">
        <v>57</v>
      </c>
      <c r="J5" s="11">
        <f>COUNTIFS('PE porfolio names final'!$R:$R,$I5,'PE porfolio names final'!$T:$T,J$3)</f>
        <v>1</v>
      </c>
      <c r="K5" s="11">
        <f>COUNTIFS('PE porfolio names final'!$R:$R,$I5,'PE porfolio names final'!$T:$T,K$3)</f>
        <v>0</v>
      </c>
      <c r="L5" s="11">
        <f>COUNTIFS('PE porfolio names final'!$R:$R,$I5,'PE porfolio names final'!$T:$T,L$3)</f>
        <v>1</v>
      </c>
      <c r="M5" s="12">
        <f t="shared" si="1"/>
        <v>2</v>
      </c>
    </row>
    <row r="6" spans="1:13" x14ac:dyDescent="0.3">
      <c r="A6" s="1" t="s">
        <v>328</v>
      </c>
      <c r="B6" s="11">
        <f>COUNTIF('PE porfolio names final'!$R:$R,'PE summary analysis'!$A6)</f>
        <v>1</v>
      </c>
      <c r="E6" s="1" t="s">
        <v>287</v>
      </c>
      <c r="F6" s="11">
        <f t="shared" si="0"/>
        <v>2</v>
      </c>
      <c r="I6" s="1" t="s">
        <v>287</v>
      </c>
      <c r="J6" s="11">
        <f>COUNTIFS('PE porfolio names final'!$R:$R,$I6,'PE porfolio names final'!$T:$T,J$3)</f>
        <v>0</v>
      </c>
      <c r="K6" s="11">
        <f>COUNTIFS('PE porfolio names final'!$R:$R,$I6,'PE porfolio names final'!$T:$T,K$3)</f>
        <v>0</v>
      </c>
      <c r="L6" s="11">
        <f>COUNTIFS('PE porfolio names final'!$R:$R,$I6,'PE porfolio names final'!$T:$T,L$3)</f>
        <v>2</v>
      </c>
      <c r="M6" s="12">
        <f t="shared" si="1"/>
        <v>2</v>
      </c>
    </row>
    <row r="7" spans="1:13" x14ac:dyDescent="0.3">
      <c r="A7" s="1" t="s">
        <v>287</v>
      </c>
      <c r="B7" s="11">
        <f>COUNTIF('PE porfolio names final'!$R:$R,'PE summary analysis'!$A7)</f>
        <v>2</v>
      </c>
      <c r="E7" s="1" t="s">
        <v>250</v>
      </c>
      <c r="F7" s="11">
        <f t="shared" si="0"/>
        <v>2</v>
      </c>
      <c r="I7" s="1" t="s">
        <v>250</v>
      </c>
      <c r="J7" s="11">
        <f>COUNTIFS('PE porfolio names final'!$R:$R,$I7,'PE porfolio names final'!$T:$T,J$3)</f>
        <v>0</v>
      </c>
      <c r="K7" s="11">
        <f>COUNTIFS('PE porfolio names final'!$R:$R,$I7,'PE porfolio names final'!$T:$T,K$3)</f>
        <v>0</v>
      </c>
      <c r="L7" s="11">
        <f>COUNTIFS('PE porfolio names final'!$R:$R,$I7,'PE porfolio names final'!$T:$T,L$3)</f>
        <v>2</v>
      </c>
      <c r="M7" s="12">
        <f t="shared" si="1"/>
        <v>2</v>
      </c>
    </row>
    <row r="8" spans="1:13" x14ac:dyDescent="0.3">
      <c r="A8" s="1" t="s">
        <v>299</v>
      </c>
      <c r="B8" s="11">
        <f>COUNTIF('PE porfolio names final'!$R:$R,'PE summary analysis'!$A8)</f>
        <v>1</v>
      </c>
      <c r="E8" s="1" t="s">
        <v>614</v>
      </c>
      <c r="F8" s="11">
        <f t="shared" si="0"/>
        <v>2</v>
      </c>
      <c r="I8" s="1" t="s">
        <v>614</v>
      </c>
      <c r="J8" s="11">
        <f>COUNTIFS('PE porfolio names final'!$R:$R,$I8,'PE porfolio names final'!$T:$T,J$3)</f>
        <v>0</v>
      </c>
      <c r="K8" s="11">
        <f>COUNTIFS('PE porfolio names final'!$R:$R,$I8,'PE porfolio names final'!$T:$T,K$3)</f>
        <v>0</v>
      </c>
      <c r="L8" s="11">
        <f>COUNTIFS('PE porfolio names final'!$R:$R,$I8,'PE porfolio names final'!$T:$T,L$3)</f>
        <v>2</v>
      </c>
      <c r="M8" s="12">
        <f t="shared" si="1"/>
        <v>2</v>
      </c>
    </row>
    <row r="9" spans="1:13" x14ac:dyDescent="0.3">
      <c r="A9" s="1" t="s">
        <v>267</v>
      </c>
      <c r="B9" s="11">
        <f>COUNTIF('PE porfolio names final'!$R:$R,'PE summary analysis'!$A9)</f>
        <v>1</v>
      </c>
      <c r="E9" s="1" t="s">
        <v>282</v>
      </c>
      <c r="F9" s="11">
        <f t="shared" si="0"/>
        <v>2</v>
      </c>
      <c r="I9" s="1" t="s">
        <v>282</v>
      </c>
      <c r="J9" s="11">
        <f>COUNTIFS('PE porfolio names final'!$R:$R,$I9,'PE porfolio names final'!$T:$T,J$3)</f>
        <v>0</v>
      </c>
      <c r="K9" s="11">
        <f>COUNTIFS('PE porfolio names final'!$R:$R,$I9,'PE porfolio names final'!$T:$T,K$3)</f>
        <v>0</v>
      </c>
      <c r="L9" s="11">
        <f>COUNTIFS('PE porfolio names final'!$R:$R,$I9,'PE porfolio names final'!$T:$T,L$3)</f>
        <v>2</v>
      </c>
      <c r="M9" s="12">
        <f t="shared" si="1"/>
        <v>2</v>
      </c>
    </row>
    <row r="10" spans="1:13" x14ac:dyDescent="0.3">
      <c r="A10" s="1" t="s">
        <v>250</v>
      </c>
      <c r="B10" s="11">
        <f>COUNTIF('PE porfolio names final'!$R:$R,'PE summary analysis'!$A10)</f>
        <v>2</v>
      </c>
      <c r="E10" s="1" t="s">
        <v>322</v>
      </c>
      <c r="F10" s="11">
        <f t="shared" si="0"/>
        <v>1</v>
      </c>
      <c r="I10" s="1" t="s">
        <v>322</v>
      </c>
      <c r="J10" s="11">
        <f>COUNTIFS('PE porfolio names final'!$R:$R,$I10,'PE porfolio names final'!$T:$T,J$3)</f>
        <v>0</v>
      </c>
      <c r="K10" s="11">
        <f>COUNTIFS('PE porfolio names final'!$R:$R,$I10,'PE porfolio names final'!$T:$T,K$3)</f>
        <v>0</v>
      </c>
      <c r="L10" s="11">
        <f>COUNTIFS('PE porfolio names final'!$R:$R,$I10,'PE porfolio names final'!$T:$T,L$3)</f>
        <v>1</v>
      </c>
      <c r="M10" s="12">
        <f t="shared" si="1"/>
        <v>1</v>
      </c>
    </row>
    <row r="11" spans="1:13" x14ac:dyDescent="0.3">
      <c r="A11" s="1" t="s">
        <v>614</v>
      </c>
      <c r="B11" s="11">
        <f>COUNTIF('PE porfolio names final'!$R:$R,'PE summary analysis'!$A11)</f>
        <v>2</v>
      </c>
      <c r="E11" s="1" t="s">
        <v>68</v>
      </c>
      <c r="F11" s="11">
        <f t="shared" si="0"/>
        <v>2</v>
      </c>
      <c r="I11" s="1" t="s">
        <v>68</v>
      </c>
      <c r="J11" s="11">
        <f>COUNTIFS('PE porfolio names final'!$R:$R,$I11,'PE porfolio names final'!$T:$T,J$3)</f>
        <v>1</v>
      </c>
      <c r="K11" s="11">
        <f>COUNTIFS('PE porfolio names final'!$R:$R,$I11,'PE porfolio names final'!$T:$T,K$3)</f>
        <v>0</v>
      </c>
      <c r="L11" s="11">
        <f>COUNTIFS('PE porfolio names final'!$R:$R,$I11,'PE porfolio names final'!$T:$T,L$3)</f>
        <v>1</v>
      </c>
      <c r="M11" s="12">
        <f t="shared" si="1"/>
        <v>2</v>
      </c>
    </row>
    <row r="12" spans="1:13" x14ac:dyDescent="0.3">
      <c r="A12" s="1" t="s">
        <v>355</v>
      </c>
      <c r="B12" s="11">
        <f>COUNTIF('PE porfolio names final'!$R:$R,'PE summary analysis'!$A12)</f>
        <v>1</v>
      </c>
      <c r="E12" s="1" t="s">
        <v>272</v>
      </c>
      <c r="F12" s="11">
        <f t="shared" si="0"/>
        <v>1</v>
      </c>
      <c r="I12" s="1" t="s">
        <v>272</v>
      </c>
      <c r="J12" s="11">
        <f>COUNTIFS('PE porfolio names final'!$R:$R,$I12,'PE porfolio names final'!$T:$T,J$3)</f>
        <v>0</v>
      </c>
      <c r="K12" s="11">
        <f>COUNTIFS('PE porfolio names final'!$R:$R,$I12,'PE porfolio names final'!$T:$T,K$3)</f>
        <v>0</v>
      </c>
      <c r="L12" s="11">
        <f>COUNTIFS('PE porfolio names final'!$R:$R,$I12,'PE porfolio names final'!$T:$T,L$3)</f>
        <v>1</v>
      </c>
      <c r="M12" s="12">
        <f t="shared" si="1"/>
        <v>1</v>
      </c>
    </row>
    <row r="13" spans="1:13" x14ac:dyDescent="0.3">
      <c r="A13" s="1" t="s">
        <v>282</v>
      </c>
      <c r="B13" s="11">
        <f>COUNTIF('PE porfolio names final'!$R:$R,'PE summary analysis'!$A13)</f>
        <v>2</v>
      </c>
      <c r="E13" s="1" t="s">
        <v>328</v>
      </c>
      <c r="F13" s="11">
        <f t="shared" si="0"/>
        <v>1</v>
      </c>
      <c r="I13" s="1" t="s">
        <v>328</v>
      </c>
      <c r="J13" s="11">
        <f>COUNTIFS('PE porfolio names final'!$R:$R,$I13,'PE porfolio names final'!$T:$T,J$3)</f>
        <v>0</v>
      </c>
      <c r="K13" s="11">
        <f>COUNTIFS('PE porfolio names final'!$R:$R,$I13,'PE porfolio names final'!$T:$T,K$3)</f>
        <v>0</v>
      </c>
      <c r="L13" s="11">
        <f>COUNTIFS('PE porfolio names final'!$R:$R,$I13,'PE porfolio names final'!$T:$T,L$3)</f>
        <v>1</v>
      </c>
      <c r="M13" s="12">
        <f t="shared" si="1"/>
        <v>1</v>
      </c>
    </row>
    <row r="14" spans="1:13" x14ac:dyDescent="0.3">
      <c r="A14" s="1" t="s">
        <v>245</v>
      </c>
      <c r="B14" s="11">
        <f>COUNTIF('PE porfolio names final'!$R:$R,'PE summary analysis'!$A14)</f>
        <v>1</v>
      </c>
      <c r="E14" s="1" t="s">
        <v>299</v>
      </c>
      <c r="F14" s="11">
        <f t="shared" si="0"/>
        <v>1</v>
      </c>
      <c r="I14" s="1" t="s">
        <v>299</v>
      </c>
      <c r="J14" s="11">
        <f>COUNTIFS('PE porfolio names final'!$R:$R,$I14,'PE porfolio names final'!$T:$T,J$3)</f>
        <v>0</v>
      </c>
      <c r="K14" s="11">
        <f>COUNTIFS('PE porfolio names final'!$R:$R,$I14,'PE porfolio names final'!$T:$T,K$3)</f>
        <v>0</v>
      </c>
      <c r="L14" s="11">
        <f>COUNTIFS('PE porfolio names final'!$R:$R,$I14,'PE porfolio names final'!$T:$T,L$3)</f>
        <v>1</v>
      </c>
      <c r="M14" s="12">
        <f t="shared" si="1"/>
        <v>1</v>
      </c>
    </row>
    <row r="15" spans="1:13" x14ac:dyDescent="0.3">
      <c r="A15" s="1" t="s">
        <v>40</v>
      </c>
      <c r="B15" s="11">
        <f>COUNTIF('PE porfolio names final'!$R:$R,'PE summary analysis'!$A15)</f>
        <v>1</v>
      </c>
      <c r="E15" s="1" t="s">
        <v>267</v>
      </c>
      <c r="F15" s="11">
        <f t="shared" si="0"/>
        <v>1</v>
      </c>
      <c r="I15" s="1" t="s">
        <v>267</v>
      </c>
      <c r="J15" s="11">
        <f>COUNTIFS('PE porfolio names final'!$R:$R,$I15,'PE porfolio names final'!$T:$T,J$3)</f>
        <v>0</v>
      </c>
      <c r="K15" s="11">
        <f>COUNTIFS('PE porfolio names final'!$R:$R,$I15,'PE porfolio names final'!$T:$T,K$3)</f>
        <v>0</v>
      </c>
      <c r="L15" s="11">
        <f>COUNTIFS('PE porfolio names final'!$R:$R,$I15,'PE porfolio names final'!$T:$T,L$3)</f>
        <v>1</v>
      </c>
      <c r="M15" s="12">
        <f t="shared" si="1"/>
        <v>1</v>
      </c>
    </row>
    <row r="16" spans="1:13" x14ac:dyDescent="0.3">
      <c r="A16" s="1" t="s">
        <v>293</v>
      </c>
      <c r="B16" s="11">
        <f>COUNTIF('PE porfolio names final'!$R:$R,'PE summary analysis'!$A16)</f>
        <v>1</v>
      </c>
      <c r="E16" s="1" t="s">
        <v>355</v>
      </c>
      <c r="F16" s="11">
        <f t="shared" si="0"/>
        <v>1</v>
      </c>
      <c r="I16" s="1" t="s">
        <v>355</v>
      </c>
      <c r="J16" s="11">
        <f>COUNTIFS('PE porfolio names final'!$R:$R,$I16,'PE porfolio names final'!$T:$T,J$3)</f>
        <v>0</v>
      </c>
      <c r="K16" s="11">
        <f>COUNTIFS('PE porfolio names final'!$R:$R,$I16,'PE porfolio names final'!$T:$T,K$3)</f>
        <v>0</v>
      </c>
      <c r="L16" s="11">
        <f>COUNTIFS('PE porfolio names final'!$R:$R,$I16,'PE porfolio names final'!$T:$T,L$3)</f>
        <v>1</v>
      </c>
      <c r="M16" s="12">
        <f t="shared" si="1"/>
        <v>1</v>
      </c>
    </row>
    <row r="17" spans="1:13" x14ac:dyDescent="0.3">
      <c r="A17" s="1" t="s">
        <v>309</v>
      </c>
      <c r="B17" s="11">
        <f>COUNTIF('PE porfolio names final'!$R:$R,'PE summary analysis'!$A17)</f>
        <v>1</v>
      </c>
      <c r="E17" s="1" t="s">
        <v>245</v>
      </c>
      <c r="F17" s="11">
        <f t="shared" si="0"/>
        <v>1</v>
      </c>
      <c r="I17" s="1" t="s">
        <v>245</v>
      </c>
      <c r="J17" s="11">
        <f>COUNTIFS('PE porfolio names final'!$R:$R,$I17,'PE porfolio names final'!$T:$T,J$3)</f>
        <v>0</v>
      </c>
      <c r="K17" s="11">
        <f>COUNTIFS('PE porfolio names final'!$R:$R,$I17,'PE porfolio names final'!$T:$T,K$3)</f>
        <v>0</v>
      </c>
      <c r="L17" s="11">
        <f>COUNTIFS('PE porfolio names final'!$R:$R,$I17,'PE porfolio names final'!$T:$T,L$3)</f>
        <v>1</v>
      </c>
      <c r="M17" s="12">
        <f t="shared" si="1"/>
        <v>1</v>
      </c>
    </row>
    <row r="18" spans="1:13" x14ac:dyDescent="0.3">
      <c r="A18" s="1" t="s">
        <v>62</v>
      </c>
      <c r="B18" s="11">
        <f>COUNTIF('PE porfolio names final'!$R:$R,'PE summary analysis'!$A18)</f>
        <v>1</v>
      </c>
      <c r="E18" s="1" t="s">
        <v>40</v>
      </c>
      <c r="F18" s="11">
        <f t="shared" si="0"/>
        <v>1</v>
      </c>
      <c r="I18" s="1" t="s">
        <v>40</v>
      </c>
      <c r="J18" s="11">
        <f>COUNTIFS('PE porfolio names final'!$R:$R,$I18,'PE porfolio names final'!$T:$T,J$3)</f>
        <v>1</v>
      </c>
      <c r="K18" s="11">
        <f>COUNTIFS('PE porfolio names final'!$R:$R,$I18,'PE porfolio names final'!$T:$T,K$3)</f>
        <v>0</v>
      </c>
      <c r="L18" s="11">
        <f>COUNTIFS('PE porfolio names final'!$R:$R,$I18,'PE porfolio names final'!$T:$T,L$3)</f>
        <v>0</v>
      </c>
      <c r="M18" s="12">
        <f t="shared" si="1"/>
        <v>1</v>
      </c>
    </row>
    <row r="19" spans="1:13" x14ac:dyDescent="0.3">
      <c r="A19" s="1" t="s">
        <v>27</v>
      </c>
      <c r="B19" s="11">
        <f>COUNTIF('PE porfolio names final'!$R:$R,'PE summary analysis'!$A19)</f>
        <v>5</v>
      </c>
      <c r="E19" s="1" t="s">
        <v>293</v>
      </c>
      <c r="F19" s="11">
        <f t="shared" si="0"/>
        <v>1</v>
      </c>
      <c r="I19" s="1" t="s">
        <v>293</v>
      </c>
      <c r="J19" s="11">
        <f>COUNTIFS('PE porfolio names final'!$R:$R,$I19,'PE porfolio names final'!$T:$T,J$3)</f>
        <v>0</v>
      </c>
      <c r="K19" s="11">
        <f>COUNTIFS('PE porfolio names final'!$R:$R,$I19,'PE porfolio names final'!$T:$T,K$3)</f>
        <v>0</v>
      </c>
      <c r="L19" s="11">
        <f>COUNTIFS('PE porfolio names final'!$R:$R,$I19,'PE porfolio names final'!$T:$T,L$3)</f>
        <v>1</v>
      </c>
      <c r="M19" s="12">
        <f t="shared" si="1"/>
        <v>1</v>
      </c>
    </row>
    <row r="20" spans="1:13" x14ac:dyDescent="0.3">
      <c r="A20" s="1" t="s">
        <v>261</v>
      </c>
      <c r="B20" s="11">
        <f>COUNTIF('PE porfolio names final'!$R:$R,'PE summary analysis'!$A20)</f>
        <v>1</v>
      </c>
      <c r="E20" s="1" t="s">
        <v>309</v>
      </c>
      <c r="F20" s="11">
        <f t="shared" si="0"/>
        <v>1</v>
      </c>
      <c r="I20" s="1" t="s">
        <v>309</v>
      </c>
      <c r="J20" s="11">
        <f>COUNTIFS('PE porfolio names final'!$R:$R,$I20,'PE porfolio names final'!$T:$T,J$3)</f>
        <v>0</v>
      </c>
      <c r="K20" s="11">
        <f>COUNTIFS('PE porfolio names final'!$R:$R,$I20,'PE porfolio names final'!$T:$T,K$3)</f>
        <v>0</v>
      </c>
      <c r="L20" s="11">
        <f>COUNTIFS('PE porfolio names final'!$R:$R,$I20,'PE porfolio names final'!$T:$T,L$3)</f>
        <v>1</v>
      </c>
      <c r="M20" s="12">
        <f t="shared" si="1"/>
        <v>1</v>
      </c>
    </row>
    <row r="21" spans="1:13" x14ac:dyDescent="0.3">
      <c r="A21" s="1" t="s">
        <v>339</v>
      </c>
      <c r="B21" s="11">
        <f>COUNTIF('PE porfolio names final'!$R:$R,'PE summary analysis'!$A21)</f>
        <v>1</v>
      </c>
      <c r="E21" s="1" t="s">
        <v>62</v>
      </c>
      <c r="F21" s="11">
        <f t="shared" si="0"/>
        <v>1</v>
      </c>
      <c r="I21" s="1" t="s">
        <v>62</v>
      </c>
      <c r="J21" s="11">
        <f>COUNTIFS('PE porfolio names final'!$R:$R,$I21,'PE porfolio names final'!$T:$T,J$3)</f>
        <v>1</v>
      </c>
      <c r="K21" s="11">
        <f>COUNTIFS('PE porfolio names final'!$R:$R,$I21,'PE porfolio names final'!$T:$T,K$3)</f>
        <v>0</v>
      </c>
      <c r="L21" s="11">
        <f>COUNTIFS('PE porfolio names final'!$R:$R,$I21,'PE porfolio names final'!$T:$T,L$3)</f>
        <v>0</v>
      </c>
      <c r="M21" s="12">
        <f t="shared" si="1"/>
        <v>1</v>
      </c>
    </row>
    <row r="22" spans="1:13" x14ac:dyDescent="0.3">
      <c r="A22" s="1" t="s">
        <v>34</v>
      </c>
      <c r="B22" s="11">
        <f>COUNTIF('PE porfolio names final'!$R:$R,'PE summary analysis'!$A22)</f>
        <v>1</v>
      </c>
      <c r="E22" s="1" t="s">
        <v>261</v>
      </c>
      <c r="F22" s="11">
        <f t="shared" si="0"/>
        <v>1</v>
      </c>
      <c r="I22" s="1" t="s">
        <v>261</v>
      </c>
      <c r="J22" s="11">
        <f>COUNTIFS('PE porfolio names final'!$R:$R,$I22,'PE porfolio names final'!$T:$T,J$3)</f>
        <v>0</v>
      </c>
      <c r="K22" s="11">
        <f>COUNTIFS('PE porfolio names final'!$R:$R,$I22,'PE porfolio names final'!$T:$T,K$3)</f>
        <v>0</v>
      </c>
      <c r="L22" s="11">
        <f>COUNTIFS('PE porfolio names final'!$R:$R,$I22,'PE porfolio names final'!$T:$T,L$3)</f>
        <v>1</v>
      </c>
      <c r="M22" s="12">
        <f t="shared" si="1"/>
        <v>1</v>
      </c>
    </row>
    <row r="23" spans="1:13" x14ac:dyDescent="0.3">
      <c r="A23" s="1" t="s">
        <v>322</v>
      </c>
      <c r="B23" s="11">
        <f>COUNTIF('PE porfolio names final'!$R:$R,'PE summary analysis'!$A23)</f>
        <v>1</v>
      </c>
      <c r="E23" s="1" t="s">
        <v>339</v>
      </c>
      <c r="F23" s="11">
        <f t="shared" si="0"/>
        <v>1</v>
      </c>
      <c r="I23" s="1" t="s">
        <v>339</v>
      </c>
      <c r="J23" s="11">
        <f>COUNTIFS('PE porfolio names final'!$R:$R,$I23,'PE porfolio names final'!$T:$T,J$3)</f>
        <v>0</v>
      </c>
      <c r="K23" s="11">
        <f>COUNTIFS('PE porfolio names final'!$R:$R,$I23,'PE porfolio names final'!$T:$T,K$3)</f>
        <v>0</v>
      </c>
      <c r="L23" s="11">
        <f>COUNTIFS('PE porfolio names final'!$R:$R,$I23,'PE porfolio names final'!$T:$T,L$3)</f>
        <v>1</v>
      </c>
      <c r="M23" s="12">
        <f t="shared" si="1"/>
        <v>1</v>
      </c>
    </row>
    <row r="24" spans="1:13" x14ac:dyDescent="0.3">
      <c r="A24" s="1" t="s">
        <v>314</v>
      </c>
      <c r="B24" s="11">
        <f>COUNTIF('PE porfolio names final'!$R:$R,'PE summary analysis'!$A24)</f>
        <v>1</v>
      </c>
      <c r="E24" s="1" t="s">
        <v>34</v>
      </c>
      <c r="F24" s="11">
        <f t="shared" si="0"/>
        <v>1</v>
      </c>
      <c r="I24" s="1" t="s">
        <v>34</v>
      </c>
      <c r="J24" s="11">
        <f>COUNTIFS('PE porfolio names final'!$R:$R,$I24,'PE porfolio names final'!$T:$T,J$3)</f>
        <v>1</v>
      </c>
      <c r="K24" s="11">
        <f>COUNTIFS('PE porfolio names final'!$R:$R,$I24,'PE porfolio names final'!$T:$T,K$3)</f>
        <v>0</v>
      </c>
      <c r="L24" s="11">
        <f>COUNTIFS('PE porfolio names final'!$R:$R,$I24,'PE porfolio names final'!$T:$T,L$3)</f>
        <v>0</v>
      </c>
      <c r="M24" s="12">
        <f t="shared" si="1"/>
        <v>1</v>
      </c>
    </row>
    <row r="25" spans="1:13" x14ac:dyDescent="0.3">
      <c r="A25" s="1" t="s">
        <v>360</v>
      </c>
      <c r="B25" s="11">
        <f>COUNTIF('PE porfolio names final'!$R:$R,'PE summary analysis'!$A25)</f>
        <v>1</v>
      </c>
      <c r="E25" s="1" t="s">
        <v>314</v>
      </c>
      <c r="F25" s="11">
        <f t="shared" si="0"/>
        <v>1</v>
      </c>
      <c r="I25" s="1" t="s">
        <v>314</v>
      </c>
      <c r="J25" s="11">
        <f>COUNTIFS('PE porfolio names final'!$R:$R,$I25,'PE porfolio names final'!$T:$T,J$3)</f>
        <v>0</v>
      </c>
      <c r="K25" s="11">
        <f>COUNTIFS('PE porfolio names final'!$R:$R,$I25,'PE porfolio names final'!$T:$T,K$3)</f>
        <v>0</v>
      </c>
      <c r="L25" s="11">
        <f>COUNTIFS('PE porfolio names final'!$R:$R,$I25,'PE porfolio names final'!$T:$T,L$3)</f>
        <v>1</v>
      </c>
      <c r="M25" s="12">
        <f t="shared" si="1"/>
        <v>1</v>
      </c>
    </row>
    <row r="26" spans="1:13" x14ac:dyDescent="0.3">
      <c r="A26" s="1" t="s">
        <v>316</v>
      </c>
      <c r="B26" s="11">
        <f>COUNTIF('PE porfolio names final'!$R:$R,'PE summary analysis'!$A26)</f>
        <v>1</v>
      </c>
      <c r="E26" s="1" t="s">
        <v>360</v>
      </c>
      <c r="F26" s="11">
        <f t="shared" si="0"/>
        <v>1</v>
      </c>
      <c r="I26" s="1" t="s">
        <v>360</v>
      </c>
      <c r="J26" s="11">
        <f>COUNTIFS('PE porfolio names final'!$R:$R,$I26,'PE porfolio names final'!$T:$T,J$3)</f>
        <v>0</v>
      </c>
      <c r="K26" s="11">
        <f>COUNTIFS('PE porfolio names final'!$R:$R,$I26,'PE porfolio names final'!$T:$T,K$3)</f>
        <v>0</v>
      </c>
      <c r="L26" s="11">
        <f>COUNTIFS('PE porfolio names final'!$R:$R,$I26,'PE porfolio names final'!$T:$T,L$3)</f>
        <v>1</v>
      </c>
      <c r="M26" s="12">
        <f t="shared" si="1"/>
        <v>1</v>
      </c>
    </row>
    <row r="27" spans="1:13" x14ac:dyDescent="0.3">
      <c r="A27" s="1" t="s">
        <v>304</v>
      </c>
      <c r="B27" s="11">
        <f>COUNTIF('PE porfolio names final'!$R:$R,'PE summary analysis'!$A27)</f>
        <v>1</v>
      </c>
      <c r="E27" s="1" t="s">
        <v>316</v>
      </c>
      <c r="F27" s="11">
        <f t="shared" si="0"/>
        <v>1</v>
      </c>
      <c r="I27" s="1" t="s">
        <v>316</v>
      </c>
      <c r="J27" s="11">
        <f>COUNTIFS('PE porfolio names final'!$R:$R,$I27,'PE porfolio names final'!$T:$T,J$3)</f>
        <v>0</v>
      </c>
      <c r="K27" s="11">
        <f>COUNTIFS('PE porfolio names final'!$R:$R,$I27,'PE porfolio names final'!$T:$T,K$3)</f>
        <v>0</v>
      </c>
      <c r="L27" s="11">
        <f>COUNTIFS('PE porfolio names final'!$R:$R,$I27,'PE porfolio names final'!$T:$T,L$3)</f>
        <v>1</v>
      </c>
      <c r="M27" s="12">
        <f t="shared" si="1"/>
        <v>1</v>
      </c>
    </row>
    <row r="28" spans="1:13" x14ac:dyDescent="0.3">
      <c r="A28" s="1" t="s">
        <v>255</v>
      </c>
      <c r="B28" s="11">
        <f>COUNTIF('PE porfolio names final'!$R:$R,'PE summary analysis'!$A28)</f>
        <v>1</v>
      </c>
      <c r="E28" s="1" t="s">
        <v>304</v>
      </c>
      <c r="F28" s="11">
        <f t="shared" si="0"/>
        <v>1</v>
      </c>
      <c r="I28" s="1" t="s">
        <v>304</v>
      </c>
      <c r="J28" s="11">
        <f>COUNTIFS('PE porfolio names final'!$R:$R,$I28,'PE porfolio names final'!$T:$T,J$3)</f>
        <v>0</v>
      </c>
      <c r="K28" s="11">
        <f>COUNTIFS('PE porfolio names final'!$R:$R,$I28,'PE porfolio names final'!$T:$T,K$3)</f>
        <v>0</v>
      </c>
      <c r="L28" s="11">
        <f>COUNTIFS('PE porfolio names final'!$R:$R,$I28,'PE porfolio names final'!$T:$T,L$3)</f>
        <v>1</v>
      </c>
      <c r="M28" s="12">
        <f t="shared" si="1"/>
        <v>1</v>
      </c>
    </row>
    <row r="29" spans="1:13" x14ac:dyDescent="0.3">
      <c r="A29" s="1" t="s">
        <v>68</v>
      </c>
      <c r="B29" s="11">
        <f>COUNTIF('PE porfolio names final'!$R:$R,'PE summary analysis'!$A29)</f>
        <v>2</v>
      </c>
      <c r="E29" s="1" t="s">
        <v>255</v>
      </c>
      <c r="F29" s="11">
        <f t="shared" si="0"/>
        <v>1</v>
      </c>
      <c r="I29" s="1" t="s">
        <v>255</v>
      </c>
      <c r="J29" s="11">
        <f>COUNTIFS('PE porfolio names final'!$R:$R,$I29,'PE porfolio names final'!$T:$T,J$3)</f>
        <v>0</v>
      </c>
      <c r="K29" s="11">
        <f>COUNTIFS('PE porfolio names final'!$R:$R,$I29,'PE porfolio names final'!$T:$T,K$3)</f>
        <v>0</v>
      </c>
      <c r="L29" s="11">
        <f>COUNTIFS('PE porfolio names final'!$R:$R,$I29,'PE porfolio names final'!$T:$T,L$3)</f>
        <v>1</v>
      </c>
      <c r="M29" s="12">
        <f t="shared" si="1"/>
        <v>1</v>
      </c>
    </row>
    <row r="30" spans="1:13" x14ac:dyDescent="0.3">
      <c r="A30" s="1" t="s">
        <v>334</v>
      </c>
      <c r="B30" s="11">
        <f>COUNTIF('PE porfolio names final'!$R:$R,'PE summary analysis'!$A30)</f>
        <v>1</v>
      </c>
      <c r="E30" s="1" t="s">
        <v>334</v>
      </c>
      <c r="F30" s="11">
        <f t="shared" si="0"/>
        <v>1</v>
      </c>
      <c r="I30" s="1" t="s">
        <v>334</v>
      </c>
      <c r="J30" s="11">
        <f>COUNTIFS('PE porfolio names final'!$R:$R,$I30,'PE porfolio names final'!$T:$T,J$3)</f>
        <v>0</v>
      </c>
      <c r="K30" s="11">
        <f>COUNTIFS('PE porfolio names final'!$R:$R,$I30,'PE porfolio names final'!$T:$T,K$3)</f>
        <v>0</v>
      </c>
      <c r="L30" s="11">
        <f>COUNTIFS('PE porfolio names final'!$R:$R,$I30,'PE porfolio names final'!$T:$T,L$3)</f>
        <v>1</v>
      </c>
      <c r="M30" s="12">
        <f t="shared" si="1"/>
        <v>1</v>
      </c>
    </row>
    <row r="31" spans="1:13" x14ac:dyDescent="0.3">
      <c r="A31" s="1" t="s">
        <v>349</v>
      </c>
      <c r="B31" s="11">
        <f>COUNTIF('PE porfolio names final'!$R:$R,'PE summary analysis'!$A31)</f>
        <v>1</v>
      </c>
      <c r="E31" s="1" t="s">
        <v>349</v>
      </c>
      <c r="F31" s="11">
        <f t="shared" si="0"/>
        <v>1</v>
      </c>
      <c r="I31" s="1" t="s">
        <v>349</v>
      </c>
      <c r="J31" s="11">
        <f>COUNTIFS('PE porfolio names final'!$R:$R,$I31,'PE porfolio names final'!$T:$T,J$3)</f>
        <v>0</v>
      </c>
      <c r="K31" s="11">
        <f>COUNTIFS('PE porfolio names final'!$R:$R,$I31,'PE porfolio names final'!$T:$T,K$3)</f>
        <v>0</v>
      </c>
      <c r="L31" s="11">
        <f>COUNTIFS('PE porfolio names final'!$R:$R,$I31,'PE porfolio names final'!$T:$T,L$3)</f>
        <v>1</v>
      </c>
      <c r="M31" s="12">
        <f t="shared" si="1"/>
        <v>1</v>
      </c>
    </row>
    <row r="32" spans="1:13" x14ac:dyDescent="0.3">
      <c r="A32" s="1" t="s">
        <v>366</v>
      </c>
      <c r="B32" s="11">
        <f>COUNTIF('PE porfolio names final'!$R:$R,'PE summary analysis'!$A32)</f>
        <v>1</v>
      </c>
      <c r="E32" s="1" t="s">
        <v>366</v>
      </c>
      <c r="F32" s="11">
        <f t="shared" si="0"/>
        <v>1</v>
      </c>
      <c r="I32" s="1" t="s">
        <v>366</v>
      </c>
      <c r="J32" s="11">
        <f>COUNTIFS('PE porfolio names final'!$R:$R,$I32,'PE porfolio names final'!$T:$T,J$3)</f>
        <v>0</v>
      </c>
      <c r="K32" s="11">
        <f>COUNTIFS('PE porfolio names final'!$R:$R,$I32,'PE porfolio names final'!$T:$T,K$3)</f>
        <v>0</v>
      </c>
      <c r="L32" s="11">
        <f>COUNTIFS('PE porfolio names final'!$R:$R,$I32,'PE porfolio names final'!$T:$T,L$3)</f>
        <v>1</v>
      </c>
      <c r="M32" s="12">
        <f t="shared" si="1"/>
        <v>1</v>
      </c>
    </row>
    <row r="33" spans="1:13" x14ac:dyDescent="0.3">
      <c r="A33" s="1" t="s">
        <v>46</v>
      </c>
      <c r="B33" s="11">
        <f>COUNTIF('PE porfolio names final'!$R:$R,'PE summary analysis'!$A33)</f>
        <v>1</v>
      </c>
      <c r="E33" s="1" t="s">
        <v>46</v>
      </c>
      <c r="F33" s="11">
        <f t="shared" si="0"/>
        <v>1</v>
      </c>
      <c r="I33" s="1" t="s">
        <v>46</v>
      </c>
      <c r="J33" s="11">
        <f>COUNTIFS('PE porfolio names final'!$R:$R,$I33,'PE porfolio names final'!$T:$T,J$3)</f>
        <v>1</v>
      </c>
      <c r="K33" s="11">
        <f>COUNTIFS('PE porfolio names final'!$R:$R,$I33,'PE porfolio names final'!$T:$T,K$3)</f>
        <v>0</v>
      </c>
      <c r="L33" s="11">
        <f>COUNTIFS('PE porfolio names final'!$R:$R,$I33,'PE porfolio names final'!$T:$T,L$3)</f>
        <v>0</v>
      </c>
      <c r="M33" s="12">
        <f t="shared" si="1"/>
        <v>1</v>
      </c>
    </row>
    <row r="34" spans="1:13" x14ac:dyDescent="0.3">
      <c r="A34" s="1" t="s">
        <v>344</v>
      </c>
      <c r="B34" s="11">
        <f>COUNTIF('PE porfolio names final'!$R:$R,'PE summary analysis'!$A34)</f>
        <v>1</v>
      </c>
      <c r="E34" s="1" t="s">
        <v>344</v>
      </c>
      <c r="F34" s="11">
        <f t="shared" si="0"/>
        <v>1</v>
      </c>
      <c r="I34" s="1" t="s">
        <v>344</v>
      </c>
      <c r="J34" s="11">
        <f>COUNTIFS('PE porfolio names final'!$R:$R,$I34,'PE porfolio names final'!$T:$T,J$3)</f>
        <v>0</v>
      </c>
      <c r="K34" s="11">
        <f>COUNTIFS('PE porfolio names final'!$R:$R,$I34,'PE porfolio names final'!$T:$T,K$3)</f>
        <v>0</v>
      </c>
      <c r="L34" s="11">
        <f>COUNTIFS('PE porfolio names final'!$R:$R,$I34,'PE porfolio names final'!$T:$T,L$3)</f>
        <v>1</v>
      </c>
      <c r="M34" s="12">
        <f t="shared" si="1"/>
        <v>1</v>
      </c>
    </row>
    <row r="35" spans="1:13" x14ac:dyDescent="0.3">
      <c r="A35" s="1" t="s">
        <v>15</v>
      </c>
      <c r="B35" s="11">
        <f>COUNTIF('PE porfolio names final'!$R:$R,'PE summary analysis'!$A35)</f>
        <v>1</v>
      </c>
      <c r="E35" s="1" t="s">
        <v>15</v>
      </c>
      <c r="F35" s="11">
        <f t="shared" si="0"/>
        <v>1</v>
      </c>
      <c r="I35" s="1" t="s">
        <v>15</v>
      </c>
      <c r="J35" s="11">
        <f>COUNTIFS('PE porfolio names final'!$R:$R,$I35,'PE porfolio names final'!$T:$T,J$3)</f>
        <v>1</v>
      </c>
      <c r="K35" s="11">
        <f>COUNTIFS('PE porfolio names final'!$R:$R,$I35,'PE porfolio names final'!$T:$T,K$3)</f>
        <v>0</v>
      </c>
      <c r="L35" s="11">
        <f>COUNTIFS('PE porfolio names final'!$R:$R,$I35,'PE porfolio names final'!$T:$T,L$3)</f>
        <v>0</v>
      </c>
      <c r="M35" s="12">
        <f t="shared" si="1"/>
        <v>1</v>
      </c>
    </row>
    <row r="36" spans="1:13" x14ac:dyDescent="0.3">
      <c r="A36" s="1" t="s">
        <v>277</v>
      </c>
      <c r="B36" s="11">
        <f>COUNTIF('PE porfolio names final'!$R:$R,'PE summary analysis'!$A36)</f>
        <v>1</v>
      </c>
      <c r="E36" s="1" t="s">
        <v>277</v>
      </c>
      <c r="F36" s="11">
        <f t="shared" si="0"/>
        <v>1</v>
      </c>
      <c r="I36" s="1" t="s">
        <v>277</v>
      </c>
      <c r="J36" s="11">
        <f>COUNTIFS('PE porfolio names final'!$R:$R,$I36,'PE porfolio names final'!$T:$T,J$3)</f>
        <v>0</v>
      </c>
      <c r="K36" s="11">
        <f>COUNTIFS('PE porfolio names final'!$R:$R,$I36,'PE porfolio names final'!$T:$T,K$3)</f>
        <v>0</v>
      </c>
      <c r="L36" s="11">
        <f>COUNTIFS('PE porfolio names final'!$R:$R,$I36,'PE porfolio names final'!$T:$T,L$3)</f>
        <v>1</v>
      </c>
      <c r="M36" s="12">
        <f t="shared" si="1"/>
        <v>1</v>
      </c>
    </row>
    <row r="37" spans="1:13" x14ac:dyDescent="0.3">
      <c r="A37" s="1" t="s">
        <v>52</v>
      </c>
      <c r="B37" s="11">
        <f>COUNTIF('PE porfolio names final'!$R:$R,'PE summary analysis'!$A37)</f>
        <v>1</v>
      </c>
      <c r="E37" s="1" t="s">
        <v>52</v>
      </c>
      <c r="F37" s="11">
        <f t="shared" si="0"/>
        <v>1</v>
      </c>
      <c r="I37" s="1" t="s">
        <v>52</v>
      </c>
      <c r="J37" s="11">
        <f>COUNTIFS('PE porfolio names final'!$R:$R,$I37,'PE porfolio names final'!$T:$T,J$3)</f>
        <v>1</v>
      </c>
      <c r="K37" s="11">
        <f>COUNTIFS('PE porfolio names final'!$R:$R,$I37,'PE porfolio names final'!$T:$T,K$3)</f>
        <v>0</v>
      </c>
      <c r="L37" s="11">
        <f>COUNTIFS('PE porfolio names final'!$R:$R,$I37,'PE porfolio names final'!$T:$T,L$3)</f>
        <v>0</v>
      </c>
      <c r="M37" s="12">
        <f t="shared" si="1"/>
        <v>1</v>
      </c>
    </row>
    <row r="38" spans="1:13" x14ac:dyDescent="0.3">
      <c r="I38" s="2" t="s">
        <v>667</v>
      </c>
      <c r="J38" s="12">
        <f>SUM(J4:J37)</f>
        <v>9</v>
      </c>
      <c r="K38" s="12">
        <f>SUM(K4:K37)</f>
        <v>1</v>
      </c>
      <c r="L38" s="12">
        <f>SUM(L4:L37)</f>
        <v>34</v>
      </c>
      <c r="M38" s="12">
        <f>SUM(M4:M37)</f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F459B-90D5-4536-B439-238734157949}">
  <dimension ref="A1:M66"/>
  <sheetViews>
    <sheetView workbookViewId="0"/>
  </sheetViews>
  <sheetFormatPr defaultColWidth="8.7265625" defaultRowHeight="12" x14ac:dyDescent="0.3"/>
  <cols>
    <col min="1" max="1" width="33" style="1" bestFit="1" customWidth="1"/>
    <col min="2" max="2" width="30.26953125" style="1" bestFit="1" customWidth="1"/>
    <col min="3" max="3" width="15.453125" style="1" bestFit="1" customWidth="1"/>
    <col min="4" max="4" width="47.453125" style="1" bestFit="1" customWidth="1"/>
    <col min="5" max="5" width="31.453125" style="1" bestFit="1" customWidth="1"/>
    <col min="6" max="6" width="207.54296875" style="1" bestFit="1" customWidth="1"/>
    <col min="7" max="7" width="44" style="1" bestFit="1" customWidth="1"/>
    <col min="8" max="8" width="25" style="1" bestFit="1" customWidth="1"/>
    <col min="9" max="9" width="25" style="1" customWidth="1"/>
    <col min="10" max="10" width="29.81640625" style="1" bestFit="1" customWidth="1"/>
    <col min="11" max="11" width="51.81640625" style="1" bestFit="1" customWidth="1"/>
    <col min="12" max="12" width="44" style="1" bestFit="1" customWidth="1"/>
    <col min="13" max="13" width="72.54296875" style="1" bestFit="1" customWidth="1"/>
    <col min="14" max="16384" width="8.7265625" style="1"/>
  </cols>
  <sheetData>
    <row r="1" spans="1:13" x14ac:dyDescent="0.3">
      <c r="A1" s="2" t="s">
        <v>668</v>
      </c>
    </row>
    <row r="3" spans="1:13" x14ac:dyDescent="0.3">
      <c r="B3" s="1">
        <f>SUBTOTAL(3,B4:B1048576)</f>
        <v>63</v>
      </c>
    </row>
    <row r="4" spans="1:13" x14ac:dyDescent="0.3">
      <c r="A4" s="3" t="s">
        <v>649</v>
      </c>
      <c r="B4" s="3" t="s">
        <v>642</v>
      </c>
      <c r="C4" s="3" t="s">
        <v>2</v>
      </c>
      <c r="D4" s="3" t="s">
        <v>669</v>
      </c>
      <c r="E4" s="3" t="s">
        <v>670</v>
      </c>
      <c r="F4" s="3" t="s">
        <v>671</v>
      </c>
      <c r="G4" s="3" t="s">
        <v>650</v>
      </c>
      <c r="H4" s="3" t="s">
        <v>4</v>
      </c>
      <c r="I4" s="4" t="s">
        <v>672</v>
      </c>
      <c r="J4" s="5" t="s">
        <v>389</v>
      </c>
      <c r="K4" s="5" t="s">
        <v>390</v>
      </c>
      <c r="L4" s="5" t="s">
        <v>391</v>
      </c>
      <c r="M4" s="5" t="s">
        <v>392</v>
      </c>
    </row>
    <row r="5" spans="1:13" x14ac:dyDescent="0.3">
      <c r="A5" s="6">
        <v>1</v>
      </c>
      <c r="B5" s="7" t="s">
        <v>15</v>
      </c>
      <c r="C5" s="7" t="s">
        <v>16</v>
      </c>
      <c r="D5" s="7" t="s">
        <v>673</v>
      </c>
      <c r="E5" s="7" t="s">
        <v>674</v>
      </c>
      <c r="F5" s="7" t="s">
        <v>675</v>
      </c>
      <c r="G5" s="7" t="s">
        <v>17</v>
      </c>
      <c r="H5" s="7"/>
      <c r="I5" s="8"/>
      <c r="J5" s="7" t="s">
        <v>18</v>
      </c>
      <c r="K5" s="7" t="s">
        <v>19</v>
      </c>
      <c r="L5" s="7" t="s">
        <v>20</v>
      </c>
      <c r="M5" s="7" t="s">
        <v>21</v>
      </c>
    </row>
    <row r="6" spans="1:13" x14ac:dyDescent="0.3">
      <c r="A6" s="6">
        <f t="shared" ref="A6:A37" si="0">A5+1</f>
        <v>2</v>
      </c>
      <c r="B6" s="7" t="s">
        <v>74</v>
      </c>
      <c r="C6" s="7" t="s">
        <v>28</v>
      </c>
      <c r="D6" s="7" t="s">
        <v>676</v>
      </c>
      <c r="E6" s="7" t="s">
        <v>677</v>
      </c>
      <c r="F6" s="7" t="s">
        <v>678</v>
      </c>
      <c r="G6" s="7" t="s">
        <v>75</v>
      </c>
      <c r="H6" s="7"/>
      <c r="I6" s="8"/>
      <c r="J6" s="7" t="s">
        <v>76</v>
      </c>
      <c r="K6" s="7" t="s">
        <v>19</v>
      </c>
      <c r="L6" s="7" t="s">
        <v>77</v>
      </c>
      <c r="M6" s="7" t="s">
        <v>78</v>
      </c>
    </row>
    <row r="7" spans="1:13" x14ac:dyDescent="0.3">
      <c r="A7" s="6">
        <f t="shared" si="0"/>
        <v>3</v>
      </c>
      <c r="B7" s="7" t="s">
        <v>80</v>
      </c>
      <c r="C7" s="7" t="s">
        <v>16</v>
      </c>
      <c r="D7" s="7" t="s">
        <v>574</v>
      </c>
      <c r="E7" s="7" t="s">
        <v>679</v>
      </c>
      <c r="F7" s="7" t="s">
        <v>675</v>
      </c>
      <c r="G7" s="7" t="s">
        <v>81</v>
      </c>
      <c r="H7" s="7"/>
      <c r="I7" s="8"/>
      <c r="J7" s="7" t="s">
        <v>82</v>
      </c>
      <c r="K7" s="7" t="s">
        <v>83</v>
      </c>
      <c r="L7" s="7" t="s">
        <v>84</v>
      </c>
      <c r="M7" s="7" t="s">
        <v>85</v>
      </c>
    </row>
    <row r="8" spans="1:13" x14ac:dyDescent="0.3">
      <c r="A8" s="6">
        <f t="shared" si="0"/>
        <v>4</v>
      </c>
      <c r="B8" s="7" t="s">
        <v>91</v>
      </c>
      <c r="C8" s="7" t="s">
        <v>92</v>
      </c>
      <c r="D8" s="7" t="s">
        <v>574</v>
      </c>
      <c r="E8" s="7" t="s">
        <v>680</v>
      </c>
      <c r="F8" s="7" t="s">
        <v>681</v>
      </c>
      <c r="G8" s="7" t="s">
        <v>93</v>
      </c>
      <c r="H8" s="7"/>
      <c r="I8" s="8"/>
      <c r="J8" s="7" t="s">
        <v>94</v>
      </c>
      <c r="K8" s="7" t="s">
        <v>19</v>
      </c>
      <c r="L8" s="7" t="s">
        <v>95</v>
      </c>
      <c r="M8" s="7" t="s">
        <v>96</v>
      </c>
    </row>
    <row r="9" spans="1:13" x14ac:dyDescent="0.3">
      <c r="A9" s="6">
        <f t="shared" si="0"/>
        <v>5</v>
      </c>
      <c r="B9" s="7" t="s">
        <v>97</v>
      </c>
      <c r="C9" s="7" t="s">
        <v>16</v>
      </c>
      <c r="D9" s="7" t="s">
        <v>574</v>
      </c>
      <c r="E9" s="7" t="s">
        <v>682</v>
      </c>
      <c r="F9" s="7" t="s">
        <v>683</v>
      </c>
      <c r="G9" s="7" t="s">
        <v>98</v>
      </c>
      <c r="H9" s="7"/>
      <c r="I9" s="8"/>
      <c r="J9" s="7" t="s">
        <v>99</v>
      </c>
      <c r="K9" s="7" t="s">
        <v>37</v>
      </c>
      <c r="L9" s="7" t="s">
        <v>100</v>
      </c>
      <c r="M9" s="7" t="s">
        <v>101</v>
      </c>
    </row>
    <row r="10" spans="1:13" x14ac:dyDescent="0.3">
      <c r="A10" s="6">
        <f t="shared" si="0"/>
        <v>6</v>
      </c>
      <c r="B10" s="7" t="s">
        <v>103</v>
      </c>
      <c r="C10" s="7" t="s">
        <v>16</v>
      </c>
      <c r="D10" s="7" t="s">
        <v>574</v>
      </c>
      <c r="E10" s="7" t="s">
        <v>684</v>
      </c>
      <c r="F10" s="7" t="s">
        <v>685</v>
      </c>
      <c r="G10" s="7" t="s">
        <v>104</v>
      </c>
      <c r="H10" s="7"/>
      <c r="I10" s="8"/>
      <c r="J10" s="7" t="s">
        <v>105</v>
      </c>
      <c r="K10" s="7" t="s">
        <v>19</v>
      </c>
      <c r="L10" s="7" t="s">
        <v>106</v>
      </c>
      <c r="M10" s="7" t="s">
        <v>107</v>
      </c>
    </row>
    <row r="11" spans="1:13" x14ac:dyDescent="0.3">
      <c r="A11" s="6">
        <f t="shared" si="0"/>
        <v>7</v>
      </c>
      <c r="B11" s="7" t="s">
        <v>245</v>
      </c>
      <c r="C11" s="7" t="s">
        <v>28</v>
      </c>
      <c r="D11" s="7" t="s">
        <v>673</v>
      </c>
      <c r="E11" s="7" t="s">
        <v>686</v>
      </c>
      <c r="F11" s="7" t="s">
        <v>687</v>
      </c>
      <c r="G11" s="7" t="s">
        <v>246</v>
      </c>
      <c r="H11" s="7"/>
      <c r="I11" s="8"/>
      <c r="J11" s="7" t="s">
        <v>247</v>
      </c>
      <c r="K11" s="7" t="s">
        <v>49</v>
      </c>
      <c r="L11" s="7" t="s">
        <v>248</v>
      </c>
      <c r="M11" s="7" t="s">
        <v>249</v>
      </c>
    </row>
    <row r="12" spans="1:13" x14ac:dyDescent="0.3">
      <c r="A12" s="6">
        <f t="shared" si="0"/>
        <v>8</v>
      </c>
      <c r="B12" s="7" t="s">
        <v>108</v>
      </c>
      <c r="C12" s="7" t="s">
        <v>16</v>
      </c>
      <c r="D12" s="7" t="s">
        <v>673</v>
      </c>
      <c r="E12" s="7" t="s">
        <v>688</v>
      </c>
      <c r="F12" s="7" t="s">
        <v>675</v>
      </c>
      <c r="G12" s="7" t="s">
        <v>109</v>
      </c>
      <c r="H12" s="7"/>
      <c r="I12" s="8"/>
      <c r="J12" s="7" t="s">
        <v>110</v>
      </c>
      <c r="K12" s="7" t="s">
        <v>49</v>
      </c>
      <c r="L12" s="7" t="s">
        <v>111</v>
      </c>
      <c r="M12" s="7" t="s">
        <v>112</v>
      </c>
    </row>
    <row r="13" spans="1:13" x14ac:dyDescent="0.3">
      <c r="A13" s="6">
        <f t="shared" si="0"/>
        <v>9</v>
      </c>
      <c r="B13" s="7" t="s">
        <v>250</v>
      </c>
      <c r="C13" s="7" t="s">
        <v>28</v>
      </c>
      <c r="D13" s="7" t="s">
        <v>689</v>
      </c>
      <c r="E13" s="7" t="s">
        <v>690</v>
      </c>
      <c r="F13" s="7" t="s">
        <v>691</v>
      </c>
      <c r="G13" s="7" t="s">
        <v>251</v>
      </c>
      <c r="H13" s="7" t="s">
        <v>692</v>
      </c>
      <c r="I13" s="8"/>
      <c r="J13" s="7" t="s">
        <v>252</v>
      </c>
      <c r="K13" s="7" t="s">
        <v>37</v>
      </c>
      <c r="L13" s="7" t="s">
        <v>253</v>
      </c>
      <c r="M13" s="7" t="s">
        <v>254</v>
      </c>
    </row>
    <row r="14" spans="1:13" x14ac:dyDescent="0.3">
      <c r="A14" s="6">
        <f t="shared" si="0"/>
        <v>10</v>
      </c>
      <c r="B14" s="7" t="s">
        <v>255</v>
      </c>
      <c r="C14" s="7" t="s">
        <v>28</v>
      </c>
      <c r="D14" s="7" t="s">
        <v>574</v>
      </c>
      <c r="E14" s="7" t="s">
        <v>473</v>
      </c>
      <c r="F14" s="7" t="s">
        <v>693</v>
      </c>
      <c r="G14" s="7" t="s">
        <v>256</v>
      </c>
      <c r="H14" s="7" t="s">
        <v>692</v>
      </c>
      <c r="I14" s="8"/>
      <c r="J14" s="7" t="s">
        <v>257</v>
      </c>
      <c r="K14" s="7" t="s">
        <v>258</v>
      </c>
      <c r="L14" s="7" t="s">
        <v>259</v>
      </c>
      <c r="M14" s="7" t="s">
        <v>260</v>
      </c>
    </row>
    <row r="15" spans="1:13" x14ac:dyDescent="0.3">
      <c r="A15" s="6">
        <f t="shared" si="0"/>
        <v>11</v>
      </c>
      <c r="B15" s="7" t="s">
        <v>261</v>
      </c>
      <c r="C15" s="7" t="s">
        <v>28</v>
      </c>
      <c r="D15" s="7" t="s">
        <v>694</v>
      </c>
      <c r="E15" s="7" t="s">
        <v>479</v>
      </c>
      <c r="F15" s="7" t="s">
        <v>695</v>
      </c>
      <c r="G15" s="7" t="s">
        <v>262</v>
      </c>
      <c r="H15" s="7" t="s">
        <v>692</v>
      </c>
      <c r="I15" s="8"/>
      <c r="J15" s="7" t="s">
        <v>263</v>
      </c>
      <c r="K15" s="7" t="s">
        <v>264</v>
      </c>
      <c r="L15" s="7" t="s">
        <v>265</v>
      </c>
      <c r="M15" s="7" t="s">
        <v>266</v>
      </c>
    </row>
    <row r="16" spans="1:13" x14ac:dyDescent="0.3">
      <c r="A16" s="6">
        <f t="shared" si="0"/>
        <v>12</v>
      </c>
      <c r="B16" s="7" t="s">
        <v>267</v>
      </c>
      <c r="C16" s="7" t="s">
        <v>28</v>
      </c>
      <c r="D16" s="7" t="s">
        <v>574</v>
      </c>
      <c r="E16" s="7" t="s">
        <v>696</v>
      </c>
      <c r="F16" s="7" t="s">
        <v>681</v>
      </c>
      <c r="G16" s="7" t="s">
        <v>268</v>
      </c>
      <c r="H16" s="7" t="s">
        <v>692</v>
      </c>
      <c r="I16" s="8"/>
      <c r="J16" s="7" t="s">
        <v>269</v>
      </c>
      <c r="K16" s="7" t="s">
        <v>37</v>
      </c>
      <c r="L16" s="7" t="s">
        <v>270</v>
      </c>
      <c r="M16" s="7" t="s">
        <v>271</v>
      </c>
    </row>
    <row r="17" spans="1:13" x14ac:dyDescent="0.3">
      <c r="A17" s="6">
        <f t="shared" si="0"/>
        <v>13</v>
      </c>
      <c r="B17" s="7" t="s">
        <v>113</v>
      </c>
      <c r="C17" s="7" t="s">
        <v>28</v>
      </c>
      <c r="D17" s="7" t="s">
        <v>574</v>
      </c>
      <c r="E17" s="7" t="s">
        <v>574</v>
      </c>
      <c r="F17" s="7" t="s">
        <v>697</v>
      </c>
      <c r="G17" s="7" t="s">
        <v>115</v>
      </c>
      <c r="H17" s="7" t="s">
        <v>114</v>
      </c>
      <c r="I17" s="9" t="s">
        <v>698</v>
      </c>
      <c r="J17" s="7" t="s">
        <v>116</v>
      </c>
      <c r="K17" s="7" t="s">
        <v>117</v>
      </c>
      <c r="L17" s="7" t="s">
        <v>118</v>
      </c>
      <c r="M17" s="7" t="s">
        <v>119</v>
      </c>
    </row>
    <row r="18" spans="1:13" x14ac:dyDescent="0.3">
      <c r="A18" s="6">
        <f t="shared" si="0"/>
        <v>14</v>
      </c>
      <c r="B18" s="7" t="s">
        <v>272</v>
      </c>
      <c r="C18" s="7" t="s">
        <v>28</v>
      </c>
      <c r="D18" s="7" t="s">
        <v>699</v>
      </c>
      <c r="E18" s="7" t="s">
        <v>488</v>
      </c>
      <c r="F18" s="7" t="s">
        <v>681</v>
      </c>
      <c r="G18" s="7" t="s">
        <v>273</v>
      </c>
      <c r="H18" s="7" t="s">
        <v>692</v>
      </c>
      <c r="I18" s="8"/>
      <c r="J18" s="7" t="s">
        <v>274</v>
      </c>
      <c r="K18" s="7" t="s">
        <v>162</v>
      </c>
      <c r="L18" s="7" t="s">
        <v>275</v>
      </c>
      <c r="M18" s="7" t="s">
        <v>276</v>
      </c>
    </row>
    <row r="19" spans="1:13" x14ac:dyDescent="0.3">
      <c r="A19" s="6">
        <f t="shared" si="0"/>
        <v>15</v>
      </c>
      <c r="B19" s="7" t="s">
        <v>120</v>
      </c>
      <c r="C19" s="7" t="s">
        <v>121</v>
      </c>
      <c r="D19" s="7" t="s">
        <v>574</v>
      </c>
      <c r="E19" s="7" t="s">
        <v>700</v>
      </c>
      <c r="F19" s="7" t="s">
        <v>701</v>
      </c>
      <c r="G19" s="7" t="s">
        <v>122</v>
      </c>
      <c r="H19" s="7"/>
      <c r="I19" s="8"/>
      <c r="J19" s="7" t="s">
        <v>123</v>
      </c>
      <c r="K19" s="7" t="s">
        <v>124</v>
      </c>
      <c r="L19" s="7" t="s">
        <v>125</v>
      </c>
      <c r="M19" s="7" t="s">
        <v>126</v>
      </c>
    </row>
    <row r="20" spans="1:13" x14ac:dyDescent="0.3">
      <c r="A20" s="6">
        <f t="shared" si="0"/>
        <v>16</v>
      </c>
      <c r="B20" s="7" t="s">
        <v>127</v>
      </c>
      <c r="C20" s="7" t="s">
        <v>28</v>
      </c>
      <c r="D20" s="7" t="s">
        <v>574</v>
      </c>
      <c r="E20" s="7" t="s">
        <v>702</v>
      </c>
      <c r="F20" s="7" t="s">
        <v>681</v>
      </c>
      <c r="G20" s="7" t="s">
        <v>128</v>
      </c>
      <c r="H20" s="7" t="s">
        <v>114</v>
      </c>
      <c r="I20" s="9" t="s">
        <v>698</v>
      </c>
      <c r="J20" s="7" t="s">
        <v>129</v>
      </c>
      <c r="K20" s="7" t="s">
        <v>19</v>
      </c>
      <c r="L20" s="7" t="s">
        <v>130</v>
      </c>
      <c r="M20" s="7" t="s">
        <v>131</v>
      </c>
    </row>
    <row r="21" spans="1:13" x14ac:dyDescent="0.3">
      <c r="A21" s="6">
        <f t="shared" si="0"/>
        <v>17</v>
      </c>
      <c r="B21" s="7" t="s">
        <v>132</v>
      </c>
      <c r="C21" s="7" t="s">
        <v>133</v>
      </c>
      <c r="D21" s="7" t="s">
        <v>574</v>
      </c>
      <c r="E21" s="7" t="s">
        <v>703</v>
      </c>
      <c r="F21" s="7" t="s">
        <v>704</v>
      </c>
      <c r="G21" s="7" t="s">
        <v>134</v>
      </c>
      <c r="H21" s="7"/>
      <c r="I21" s="8"/>
      <c r="J21" s="7" t="s">
        <v>135</v>
      </c>
      <c r="K21" s="7" t="s">
        <v>19</v>
      </c>
      <c r="L21" s="7" t="s">
        <v>136</v>
      </c>
      <c r="M21" s="7" t="s">
        <v>137</v>
      </c>
    </row>
    <row r="22" spans="1:13" x14ac:dyDescent="0.3">
      <c r="A22" s="6">
        <f t="shared" si="0"/>
        <v>18</v>
      </c>
      <c r="B22" s="7" t="s">
        <v>138</v>
      </c>
      <c r="C22" s="7" t="s">
        <v>28</v>
      </c>
      <c r="D22" s="7" t="s">
        <v>673</v>
      </c>
      <c r="E22" s="7" t="s">
        <v>705</v>
      </c>
      <c r="F22" s="7" t="s">
        <v>681</v>
      </c>
      <c r="G22" s="7" t="s">
        <v>139</v>
      </c>
      <c r="H22" s="7" t="s">
        <v>692</v>
      </c>
      <c r="I22" s="8"/>
      <c r="J22" s="7" t="s">
        <v>140</v>
      </c>
      <c r="K22" s="7" t="s">
        <v>37</v>
      </c>
      <c r="L22" s="7" t="s">
        <v>141</v>
      </c>
      <c r="M22" s="7" t="s">
        <v>142</v>
      </c>
    </row>
    <row r="23" spans="1:13" x14ac:dyDescent="0.3">
      <c r="A23" s="6">
        <f t="shared" si="0"/>
        <v>19</v>
      </c>
      <c r="B23" s="7" t="s">
        <v>277</v>
      </c>
      <c r="C23" s="7" t="s">
        <v>182</v>
      </c>
      <c r="D23" s="7" t="s">
        <v>574</v>
      </c>
      <c r="E23" s="7" t="s">
        <v>493</v>
      </c>
      <c r="F23" s="7" t="s">
        <v>706</v>
      </c>
      <c r="G23" s="7" t="s">
        <v>278</v>
      </c>
      <c r="H23" s="7"/>
      <c r="I23" s="8"/>
      <c r="J23" s="7" t="s">
        <v>279</v>
      </c>
      <c r="K23" s="7" t="s">
        <v>19</v>
      </c>
      <c r="L23" s="7" t="s">
        <v>280</v>
      </c>
      <c r="M23" s="7" t="s">
        <v>281</v>
      </c>
    </row>
    <row r="24" spans="1:13" x14ac:dyDescent="0.3">
      <c r="A24" s="6">
        <f t="shared" si="0"/>
        <v>20</v>
      </c>
      <c r="B24" s="7" t="s">
        <v>27</v>
      </c>
      <c r="C24" s="7" t="s">
        <v>28</v>
      </c>
      <c r="D24" s="7" t="s">
        <v>574</v>
      </c>
      <c r="E24" s="7" t="s">
        <v>498</v>
      </c>
      <c r="F24" s="7" t="s">
        <v>707</v>
      </c>
      <c r="G24" s="7" t="s">
        <v>29</v>
      </c>
      <c r="H24" s="7" t="s">
        <v>692</v>
      </c>
      <c r="I24" s="8"/>
      <c r="J24" s="7" t="s">
        <v>30</v>
      </c>
      <c r="K24" s="7" t="s">
        <v>19</v>
      </c>
      <c r="L24" s="7" t="s">
        <v>31</v>
      </c>
      <c r="M24" s="7" t="s">
        <v>32</v>
      </c>
    </row>
    <row r="25" spans="1:13" x14ac:dyDescent="0.3">
      <c r="A25" s="6">
        <f t="shared" si="0"/>
        <v>21</v>
      </c>
      <c r="B25" s="7" t="s">
        <v>282</v>
      </c>
      <c r="C25" s="7" t="s">
        <v>28</v>
      </c>
      <c r="D25" s="7" t="s">
        <v>574</v>
      </c>
      <c r="E25" s="7" t="s">
        <v>708</v>
      </c>
      <c r="F25" s="7" t="s">
        <v>709</v>
      </c>
      <c r="G25" s="7" t="s">
        <v>283</v>
      </c>
      <c r="H25" s="7" t="s">
        <v>692</v>
      </c>
      <c r="I25" s="8"/>
      <c r="J25" s="7" t="s">
        <v>284</v>
      </c>
      <c r="K25" s="7" t="s">
        <v>49</v>
      </c>
      <c r="L25" s="7" t="s">
        <v>285</v>
      </c>
      <c r="M25" s="7" t="s">
        <v>286</v>
      </c>
    </row>
    <row r="26" spans="1:13" x14ac:dyDescent="0.3">
      <c r="A26" s="6">
        <f t="shared" si="0"/>
        <v>22</v>
      </c>
      <c r="B26" s="7" t="s">
        <v>287</v>
      </c>
      <c r="C26" s="7" t="s">
        <v>28</v>
      </c>
      <c r="D26" s="7" t="s">
        <v>710</v>
      </c>
      <c r="E26" s="7" t="s">
        <v>711</v>
      </c>
      <c r="F26" s="7" t="s">
        <v>712</v>
      </c>
      <c r="G26" s="7" t="s">
        <v>288</v>
      </c>
      <c r="H26" s="7" t="s">
        <v>692</v>
      </c>
      <c r="I26" s="8"/>
      <c r="J26" s="7" t="s">
        <v>289</v>
      </c>
      <c r="K26" s="7" t="s">
        <v>290</v>
      </c>
      <c r="L26" s="7" t="s">
        <v>291</v>
      </c>
      <c r="M26" s="7" t="s">
        <v>292</v>
      </c>
    </row>
    <row r="27" spans="1:13" x14ac:dyDescent="0.3">
      <c r="A27" s="6">
        <f t="shared" si="0"/>
        <v>23</v>
      </c>
      <c r="B27" s="7" t="s">
        <v>143</v>
      </c>
      <c r="C27" s="7" t="s">
        <v>121</v>
      </c>
      <c r="D27" s="7" t="s">
        <v>673</v>
      </c>
      <c r="E27" s="7" t="s">
        <v>713</v>
      </c>
      <c r="F27" s="7" t="s">
        <v>714</v>
      </c>
      <c r="G27" s="7" t="s">
        <v>144</v>
      </c>
      <c r="H27" s="7"/>
      <c r="I27" s="8"/>
      <c r="J27" s="7" t="s">
        <v>145</v>
      </c>
      <c r="K27" s="7" t="s">
        <v>146</v>
      </c>
      <c r="L27" s="7" t="s">
        <v>147</v>
      </c>
      <c r="M27" s="7" t="s">
        <v>148</v>
      </c>
    </row>
    <row r="28" spans="1:13" x14ac:dyDescent="0.3">
      <c r="A28" s="6">
        <f t="shared" si="0"/>
        <v>24</v>
      </c>
      <c r="B28" s="7" t="s">
        <v>149</v>
      </c>
      <c r="C28" s="7" t="s">
        <v>16</v>
      </c>
      <c r="D28" s="7" t="s">
        <v>574</v>
      </c>
      <c r="E28" s="7" t="s">
        <v>715</v>
      </c>
      <c r="F28" s="7" t="s">
        <v>716</v>
      </c>
      <c r="G28" s="7" t="s">
        <v>150</v>
      </c>
      <c r="H28" s="7"/>
      <c r="I28" s="8"/>
      <c r="J28" s="7" t="s">
        <v>151</v>
      </c>
      <c r="K28" s="7" t="s">
        <v>83</v>
      </c>
      <c r="L28" s="7" t="s">
        <v>152</v>
      </c>
      <c r="M28" s="7" t="s">
        <v>153</v>
      </c>
    </row>
    <row r="29" spans="1:13" x14ac:dyDescent="0.3">
      <c r="A29" s="6">
        <f t="shared" si="0"/>
        <v>25</v>
      </c>
      <c r="B29" s="7" t="s">
        <v>154</v>
      </c>
      <c r="C29" s="7" t="s">
        <v>16</v>
      </c>
      <c r="D29" s="7" t="s">
        <v>574</v>
      </c>
      <c r="E29" s="7" t="s">
        <v>717</v>
      </c>
      <c r="F29" s="7" t="s">
        <v>716</v>
      </c>
      <c r="G29" s="7" t="s">
        <v>155</v>
      </c>
      <c r="H29" s="7"/>
      <c r="I29" s="8"/>
      <c r="J29" s="7" t="s">
        <v>156</v>
      </c>
      <c r="K29" s="7" t="s">
        <v>19</v>
      </c>
      <c r="L29" s="7" t="s">
        <v>157</v>
      </c>
      <c r="M29" s="7" t="s">
        <v>158</v>
      </c>
    </row>
    <row r="30" spans="1:13" x14ac:dyDescent="0.3">
      <c r="A30" s="6">
        <f t="shared" si="0"/>
        <v>26</v>
      </c>
      <c r="B30" s="7" t="s">
        <v>159</v>
      </c>
      <c r="C30" s="7" t="s">
        <v>16</v>
      </c>
      <c r="D30" s="7" t="s">
        <v>574</v>
      </c>
      <c r="E30" s="7" t="s">
        <v>718</v>
      </c>
      <c r="F30" s="7" t="s">
        <v>719</v>
      </c>
      <c r="G30" s="7" t="s">
        <v>160</v>
      </c>
      <c r="H30" s="7"/>
      <c r="I30" s="8"/>
      <c r="J30" s="7" t="s">
        <v>161</v>
      </c>
      <c r="K30" s="7" t="s">
        <v>162</v>
      </c>
      <c r="L30" s="7" t="s">
        <v>163</v>
      </c>
      <c r="M30" s="7" t="s">
        <v>164</v>
      </c>
    </row>
    <row r="31" spans="1:13" x14ac:dyDescent="0.3">
      <c r="A31" s="6">
        <f t="shared" si="0"/>
        <v>27</v>
      </c>
      <c r="B31" s="7" t="s">
        <v>34</v>
      </c>
      <c r="C31" s="7" t="s">
        <v>28</v>
      </c>
      <c r="D31" s="7" t="s">
        <v>574</v>
      </c>
      <c r="E31" s="7" t="s">
        <v>395</v>
      </c>
      <c r="F31" s="7" t="s">
        <v>720</v>
      </c>
      <c r="G31" s="7" t="s">
        <v>35</v>
      </c>
      <c r="H31" s="7" t="s">
        <v>692</v>
      </c>
      <c r="I31" s="8"/>
      <c r="J31" s="7" t="s">
        <v>36</v>
      </c>
      <c r="K31" s="7" t="s">
        <v>37</v>
      </c>
      <c r="L31" s="7" t="s">
        <v>38</v>
      </c>
      <c r="M31" s="7" t="s">
        <v>39</v>
      </c>
    </row>
    <row r="32" spans="1:13" x14ac:dyDescent="0.3">
      <c r="A32" s="6">
        <f t="shared" si="0"/>
        <v>28</v>
      </c>
      <c r="B32" s="7" t="s">
        <v>165</v>
      </c>
      <c r="C32" s="7" t="s">
        <v>16</v>
      </c>
      <c r="D32" s="7" t="s">
        <v>673</v>
      </c>
      <c r="E32" s="7" t="s">
        <v>721</v>
      </c>
      <c r="F32" s="7" t="s">
        <v>722</v>
      </c>
      <c r="G32" s="7" t="s">
        <v>166</v>
      </c>
      <c r="H32" s="7"/>
      <c r="I32" s="8"/>
      <c r="J32" s="7" t="s">
        <v>167</v>
      </c>
      <c r="K32" s="7" t="s">
        <v>37</v>
      </c>
      <c r="L32" s="7" t="s">
        <v>168</v>
      </c>
      <c r="M32" s="7" t="s">
        <v>169</v>
      </c>
    </row>
    <row r="33" spans="1:13" x14ac:dyDescent="0.3">
      <c r="A33" s="6">
        <f t="shared" si="0"/>
        <v>29</v>
      </c>
      <c r="B33" s="7" t="s">
        <v>40</v>
      </c>
      <c r="C33" s="7" t="s">
        <v>28</v>
      </c>
      <c r="D33" s="7" t="s">
        <v>574</v>
      </c>
      <c r="E33" s="7" t="s">
        <v>402</v>
      </c>
      <c r="F33" s="7" t="s">
        <v>723</v>
      </c>
      <c r="G33" s="7" t="s">
        <v>41</v>
      </c>
      <c r="H33" s="7" t="s">
        <v>692</v>
      </c>
      <c r="I33" s="8"/>
      <c r="J33" s="7" t="s">
        <v>42</v>
      </c>
      <c r="K33" s="7" t="s">
        <v>43</v>
      </c>
      <c r="L33" s="7" t="s">
        <v>44</v>
      </c>
      <c r="M33" s="7" t="s">
        <v>45</v>
      </c>
    </row>
    <row r="34" spans="1:13" x14ac:dyDescent="0.3">
      <c r="A34" s="6">
        <f t="shared" si="0"/>
        <v>30</v>
      </c>
      <c r="B34" s="7" t="s">
        <v>174</v>
      </c>
      <c r="C34" s="7" t="s">
        <v>175</v>
      </c>
      <c r="D34" s="7" t="s">
        <v>574</v>
      </c>
      <c r="E34" s="7" t="s">
        <v>724</v>
      </c>
      <c r="F34" s="7" t="s">
        <v>725</v>
      </c>
      <c r="G34" s="7" t="s">
        <v>176</v>
      </c>
      <c r="H34" s="7"/>
      <c r="I34" s="8"/>
      <c r="J34" s="7" t="s">
        <v>177</v>
      </c>
      <c r="K34" s="7" t="s">
        <v>178</v>
      </c>
      <c r="L34" s="7" t="s">
        <v>179</v>
      </c>
      <c r="M34" s="7" t="s">
        <v>180</v>
      </c>
    </row>
    <row r="35" spans="1:13" x14ac:dyDescent="0.3">
      <c r="A35" s="6">
        <f t="shared" si="0"/>
        <v>31</v>
      </c>
      <c r="B35" s="7" t="s">
        <v>181</v>
      </c>
      <c r="C35" s="7" t="s">
        <v>182</v>
      </c>
      <c r="D35" s="7" t="s">
        <v>574</v>
      </c>
      <c r="E35" s="7" t="s">
        <v>726</v>
      </c>
      <c r="F35" s="7" t="s">
        <v>727</v>
      </c>
      <c r="G35" s="7" t="s">
        <v>183</v>
      </c>
      <c r="H35" s="7"/>
      <c r="I35" s="8"/>
      <c r="J35" s="7" t="s">
        <v>184</v>
      </c>
      <c r="K35" s="7" t="s">
        <v>49</v>
      </c>
      <c r="L35" s="7" t="s">
        <v>185</v>
      </c>
      <c r="M35" s="7" t="s">
        <v>186</v>
      </c>
    </row>
    <row r="36" spans="1:13" x14ac:dyDescent="0.3">
      <c r="A36" s="6">
        <f t="shared" si="0"/>
        <v>32</v>
      </c>
      <c r="B36" s="7" t="s">
        <v>187</v>
      </c>
      <c r="C36" s="7" t="s">
        <v>16</v>
      </c>
      <c r="D36" s="7" t="s">
        <v>574</v>
      </c>
      <c r="E36" s="7" t="s">
        <v>728</v>
      </c>
      <c r="F36" s="7" t="s">
        <v>729</v>
      </c>
      <c r="G36" s="7" t="s">
        <v>188</v>
      </c>
      <c r="H36" s="7"/>
      <c r="I36" s="8"/>
      <c r="J36" s="7" t="s">
        <v>189</v>
      </c>
      <c r="K36" s="7" t="s">
        <v>190</v>
      </c>
      <c r="L36" s="7" t="s">
        <v>191</v>
      </c>
      <c r="M36" s="7" t="s">
        <v>192</v>
      </c>
    </row>
    <row r="37" spans="1:13" x14ac:dyDescent="0.3">
      <c r="A37" s="6">
        <f t="shared" si="0"/>
        <v>33</v>
      </c>
      <c r="B37" s="7" t="s">
        <v>193</v>
      </c>
      <c r="C37" s="7" t="s">
        <v>194</v>
      </c>
      <c r="D37" s="7" t="s">
        <v>673</v>
      </c>
      <c r="E37" s="7" t="s">
        <v>730</v>
      </c>
      <c r="F37" s="7" t="s">
        <v>731</v>
      </c>
      <c r="G37" s="7" t="s">
        <v>195</v>
      </c>
      <c r="H37" s="7"/>
      <c r="I37" s="8"/>
      <c r="J37" s="7" t="s">
        <v>196</v>
      </c>
      <c r="K37" s="7" t="s">
        <v>197</v>
      </c>
      <c r="L37" s="7" t="s">
        <v>198</v>
      </c>
      <c r="M37" s="7" t="s">
        <v>199</v>
      </c>
    </row>
    <row r="38" spans="1:13" x14ac:dyDescent="0.3">
      <c r="A38" s="6">
        <f t="shared" ref="A38:A66" si="1">A37+1</f>
        <v>34</v>
      </c>
      <c r="B38" s="7" t="s">
        <v>200</v>
      </c>
      <c r="C38" s="7" t="s">
        <v>201</v>
      </c>
      <c r="D38" s="7" t="s">
        <v>732</v>
      </c>
      <c r="E38" s="7" t="s">
        <v>733</v>
      </c>
      <c r="F38" s="7" t="s">
        <v>734</v>
      </c>
      <c r="G38" s="7" t="s">
        <v>202</v>
      </c>
      <c r="H38" s="7"/>
      <c r="I38" s="8"/>
      <c r="J38" s="7" t="s">
        <v>735</v>
      </c>
      <c r="K38" s="7" t="s">
        <v>43</v>
      </c>
      <c r="L38" s="7" t="s">
        <v>736</v>
      </c>
      <c r="M38" s="7" t="s">
        <v>737</v>
      </c>
    </row>
    <row r="39" spans="1:13" x14ac:dyDescent="0.3">
      <c r="A39" s="6">
        <f t="shared" si="1"/>
        <v>35</v>
      </c>
      <c r="B39" s="7" t="s">
        <v>206</v>
      </c>
      <c r="C39" s="7" t="s">
        <v>182</v>
      </c>
      <c r="D39" s="7" t="s">
        <v>673</v>
      </c>
      <c r="E39" s="7" t="s">
        <v>738</v>
      </c>
      <c r="F39" s="7" t="s">
        <v>739</v>
      </c>
      <c r="G39" s="7" t="s">
        <v>207</v>
      </c>
      <c r="H39" s="7"/>
      <c r="I39" s="8"/>
      <c r="J39" s="7" t="s">
        <v>208</v>
      </c>
      <c r="K39" s="7" t="s">
        <v>19</v>
      </c>
      <c r="L39" s="7" t="s">
        <v>209</v>
      </c>
      <c r="M39" s="7" t="s">
        <v>210</v>
      </c>
    </row>
    <row r="40" spans="1:13" x14ac:dyDescent="0.3">
      <c r="A40" s="6">
        <f t="shared" si="1"/>
        <v>36</v>
      </c>
      <c r="B40" s="7" t="s">
        <v>293</v>
      </c>
      <c r="C40" s="7" t="s">
        <v>28</v>
      </c>
      <c r="D40" s="7" t="s">
        <v>740</v>
      </c>
      <c r="E40" s="7" t="s">
        <v>534</v>
      </c>
      <c r="F40" s="7" t="s">
        <v>681</v>
      </c>
      <c r="G40" s="7" t="s">
        <v>294</v>
      </c>
      <c r="H40" s="7"/>
      <c r="I40" s="8"/>
      <c r="J40" s="7" t="s">
        <v>295</v>
      </c>
      <c r="K40" s="7" t="s">
        <v>296</v>
      </c>
      <c r="L40" s="7" t="s">
        <v>297</v>
      </c>
      <c r="M40" s="7" t="s">
        <v>298</v>
      </c>
    </row>
    <row r="41" spans="1:13" x14ac:dyDescent="0.3">
      <c r="A41" s="6">
        <f t="shared" si="1"/>
        <v>37</v>
      </c>
      <c r="B41" s="7" t="s">
        <v>299</v>
      </c>
      <c r="C41" s="7" t="s">
        <v>28</v>
      </c>
      <c r="D41" s="7" t="s">
        <v>741</v>
      </c>
      <c r="E41" s="7" t="s">
        <v>742</v>
      </c>
      <c r="F41" s="7" t="s">
        <v>681</v>
      </c>
      <c r="G41" s="7" t="s">
        <v>300</v>
      </c>
      <c r="H41" s="7"/>
      <c r="I41" s="8"/>
      <c r="J41" s="7" t="s">
        <v>301</v>
      </c>
      <c r="K41" s="7" t="s">
        <v>37</v>
      </c>
      <c r="L41" s="7" t="s">
        <v>302</v>
      </c>
      <c r="M41" s="7" t="s">
        <v>303</v>
      </c>
    </row>
    <row r="42" spans="1:13" x14ac:dyDescent="0.3">
      <c r="A42" s="6">
        <f t="shared" si="1"/>
        <v>38</v>
      </c>
      <c r="B42" s="1" t="s">
        <v>211</v>
      </c>
      <c r="C42" s="7" t="s">
        <v>28</v>
      </c>
      <c r="D42" s="7" t="s">
        <v>574</v>
      </c>
      <c r="E42" s="7" t="s">
        <v>743</v>
      </c>
      <c r="F42" s="7" t="s">
        <v>681</v>
      </c>
      <c r="G42" s="7" t="s">
        <v>212</v>
      </c>
      <c r="H42" s="7"/>
      <c r="I42" s="8"/>
      <c r="J42" s="7" t="s">
        <v>213</v>
      </c>
      <c r="K42" s="7" t="s">
        <v>49</v>
      </c>
      <c r="L42" s="7" t="s">
        <v>214</v>
      </c>
      <c r="M42" s="7" t="s">
        <v>215</v>
      </c>
    </row>
    <row r="43" spans="1:13" x14ac:dyDescent="0.3">
      <c r="A43" s="6">
        <f t="shared" si="1"/>
        <v>39</v>
      </c>
      <c r="B43" s="1" t="s">
        <v>216</v>
      </c>
      <c r="C43" s="7" t="s">
        <v>28</v>
      </c>
      <c r="D43" s="7" t="s">
        <v>744</v>
      </c>
      <c r="E43" s="7" t="s">
        <v>745</v>
      </c>
      <c r="F43" s="7" t="s">
        <v>681</v>
      </c>
      <c r="G43" s="7" t="s">
        <v>217</v>
      </c>
      <c r="H43" s="7"/>
      <c r="I43" s="8"/>
      <c r="J43" s="7" t="s">
        <v>218</v>
      </c>
      <c r="K43" s="7" t="s">
        <v>37</v>
      </c>
      <c r="L43" s="7" t="s">
        <v>219</v>
      </c>
      <c r="M43" s="7" t="s">
        <v>220</v>
      </c>
    </row>
    <row r="44" spans="1:13" x14ac:dyDescent="0.3">
      <c r="A44" s="6">
        <f t="shared" si="1"/>
        <v>40</v>
      </c>
      <c r="B44" s="1" t="s">
        <v>304</v>
      </c>
      <c r="C44" s="7" t="s">
        <v>28</v>
      </c>
      <c r="D44" s="7" t="s">
        <v>746</v>
      </c>
      <c r="E44" s="7" t="s">
        <v>747</v>
      </c>
      <c r="F44" s="7" t="s">
        <v>748</v>
      </c>
      <c r="G44" s="7" t="s">
        <v>305</v>
      </c>
      <c r="H44" s="7"/>
      <c r="I44" s="8"/>
      <c r="J44" s="7" t="s">
        <v>306</v>
      </c>
      <c r="K44" s="7" t="s">
        <v>19</v>
      </c>
      <c r="L44" s="7" t="s">
        <v>307</v>
      </c>
      <c r="M44" s="7" t="s">
        <v>308</v>
      </c>
    </row>
    <row r="45" spans="1:13" x14ac:dyDescent="0.3">
      <c r="A45" s="6">
        <f t="shared" si="1"/>
        <v>41</v>
      </c>
      <c r="B45" s="1" t="s">
        <v>309</v>
      </c>
      <c r="C45" s="7" t="s">
        <v>28</v>
      </c>
      <c r="D45" s="7" t="s">
        <v>749</v>
      </c>
      <c r="E45" s="7" t="s">
        <v>544</v>
      </c>
      <c r="F45" s="7" t="s">
        <v>750</v>
      </c>
      <c r="G45" s="7" t="s">
        <v>310</v>
      </c>
      <c r="H45" s="7"/>
      <c r="I45" s="8"/>
      <c r="J45" s="7" t="s">
        <v>311</v>
      </c>
      <c r="K45" s="7" t="s">
        <v>37</v>
      </c>
      <c r="L45" s="7" t="s">
        <v>312</v>
      </c>
      <c r="M45" s="7" t="s">
        <v>313</v>
      </c>
    </row>
    <row r="46" spans="1:13" x14ac:dyDescent="0.3">
      <c r="A46" s="6">
        <f t="shared" si="1"/>
        <v>42</v>
      </c>
      <c r="B46" s="1" t="s">
        <v>314</v>
      </c>
      <c r="C46" s="7" t="s">
        <v>28</v>
      </c>
      <c r="D46" s="7" t="s">
        <v>751</v>
      </c>
      <c r="E46" s="7" t="s">
        <v>549</v>
      </c>
      <c r="F46" s="7" t="s">
        <v>750</v>
      </c>
      <c r="G46" s="7" t="s">
        <v>315</v>
      </c>
      <c r="H46" s="7"/>
      <c r="I46" s="8"/>
      <c r="J46" s="7" t="s">
        <v>752</v>
      </c>
      <c r="K46" s="7"/>
      <c r="L46" s="7"/>
      <c r="M46" s="7"/>
    </row>
    <row r="47" spans="1:13" x14ac:dyDescent="0.3">
      <c r="A47" s="6">
        <f t="shared" si="1"/>
        <v>43</v>
      </c>
      <c r="B47" s="1" t="s">
        <v>316</v>
      </c>
      <c r="C47" s="7" t="s">
        <v>28</v>
      </c>
      <c r="D47" s="7" t="s">
        <v>673</v>
      </c>
      <c r="E47" s="7" t="s">
        <v>753</v>
      </c>
      <c r="F47" s="7" t="s">
        <v>750</v>
      </c>
      <c r="G47" s="7" t="s">
        <v>317</v>
      </c>
      <c r="H47" s="7"/>
      <c r="I47" s="8"/>
      <c r="J47" s="7" t="s">
        <v>318</v>
      </c>
      <c r="K47" s="7" t="s">
        <v>319</v>
      </c>
      <c r="L47" s="7" t="s">
        <v>320</v>
      </c>
      <c r="M47" s="7" t="s">
        <v>321</v>
      </c>
    </row>
    <row r="48" spans="1:13" x14ac:dyDescent="0.3">
      <c r="A48" s="6">
        <f t="shared" si="1"/>
        <v>44</v>
      </c>
      <c r="B48" s="1" t="s">
        <v>46</v>
      </c>
      <c r="C48" s="7" t="s">
        <v>28</v>
      </c>
      <c r="D48" s="7" t="s">
        <v>754</v>
      </c>
      <c r="E48" s="7" t="s">
        <v>755</v>
      </c>
      <c r="F48" s="7" t="s">
        <v>750</v>
      </c>
      <c r="G48" s="7" t="s">
        <v>47</v>
      </c>
      <c r="H48" s="7"/>
      <c r="I48" s="8"/>
      <c r="J48" s="7" t="s">
        <v>48</v>
      </c>
      <c r="K48" s="7" t="s">
        <v>49</v>
      </c>
      <c r="L48" s="7" t="s">
        <v>50</v>
      </c>
      <c r="M48" s="7" t="s">
        <v>51</v>
      </c>
    </row>
    <row r="49" spans="1:13" x14ac:dyDescent="0.3">
      <c r="A49" s="6">
        <f t="shared" si="1"/>
        <v>45</v>
      </c>
      <c r="B49" s="1" t="s">
        <v>322</v>
      </c>
      <c r="C49" s="7" t="s">
        <v>28</v>
      </c>
      <c r="D49" s="7" t="s">
        <v>756</v>
      </c>
      <c r="E49" s="7" t="s">
        <v>757</v>
      </c>
      <c r="F49" s="7" t="s">
        <v>750</v>
      </c>
      <c r="G49" s="7" t="s">
        <v>323</v>
      </c>
      <c r="H49" s="7"/>
      <c r="I49" s="8"/>
      <c r="J49" s="7" t="s">
        <v>324</v>
      </c>
      <c r="K49" s="7" t="s">
        <v>325</v>
      </c>
      <c r="L49" s="7" t="s">
        <v>326</v>
      </c>
      <c r="M49" s="7" t="s">
        <v>327</v>
      </c>
    </row>
    <row r="50" spans="1:13" x14ac:dyDescent="0.3">
      <c r="A50" s="6">
        <f t="shared" si="1"/>
        <v>46</v>
      </c>
      <c r="B50" s="1" t="s">
        <v>328</v>
      </c>
      <c r="C50" s="7" t="s">
        <v>28</v>
      </c>
      <c r="D50" s="7" t="s">
        <v>758</v>
      </c>
      <c r="E50" s="7" t="s">
        <v>759</v>
      </c>
      <c r="F50" s="7" t="s">
        <v>760</v>
      </c>
      <c r="G50" s="7" t="s">
        <v>329</v>
      </c>
      <c r="H50" s="7"/>
      <c r="I50" s="8"/>
      <c r="J50" s="7" t="s">
        <v>330</v>
      </c>
      <c r="K50" s="7" t="s">
        <v>331</v>
      </c>
      <c r="L50" s="7" t="s">
        <v>332</v>
      </c>
      <c r="M50" s="7" t="s">
        <v>333</v>
      </c>
    </row>
    <row r="51" spans="1:13" x14ac:dyDescent="0.3">
      <c r="A51" s="6">
        <f t="shared" si="1"/>
        <v>47</v>
      </c>
      <c r="B51" s="1" t="s">
        <v>334</v>
      </c>
      <c r="C51" s="7" t="s">
        <v>28</v>
      </c>
      <c r="D51" s="7" t="s">
        <v>761</v>
      </c>
      <c r="E51" s="7" t="s">
        <v>762</v>
      </c>
      <c r="F51" s="7" t="s">
        <v>763</v>
      </c>
      <c r="G51" s="7" t="s">
        <v>335</v>
      </c>
      <c r="H51" s="7"/>
      <c r="I51" s="8"/>
      <c r="J51" s="7" t="s">
        <v>336</v>
      </c>
      <c r="K51" s="7" t="s">
        <v>19</v>
      </c>
      <c r="L51" s="7" t="s">
        <v>337</v>
      </c>
      <c r="M51" s="7" t="s">
        <v>338</v>
      </c>
    </row>
    <row r="52" spans="1:13" x14ac:dyDescent="0.3">
      <c r="A52" s="6">
        <f t="shared" si="1"/>
        <v>48</v>
      </c>
      <c r="B52" s="1" t="s">
        <v>339</v>
      </c>
      <c r="C52" s="7" t="s">
        <v>28</v>
      </c>
      <c r="D52" s="7" t="s">
        <v>764</v>
      </c>
      <c r="E52" s="7" t="s">
        <v>569</v>
      </c>
      <c r="F52" s="7" t="s">
        <v>750</v>
      </c>
      <c r="G52" s="7" t="s">
        <v>340</v>
      </c>
      <c r="H52" s="7"/>
      <c r="I52" s="8"/>
      <c r="J52" s="7" t="s">
        <v>765</v>
      </c>
      <c r="K52" s="7" t="s">
        <v>19</v>
      </c>
      <c r="L52" s="7" t="s">
        <v>766</v>
      </c>
      <c r="M52" s="7" t="s">
        <v>767</v>
      </c>
    </row>
    <row r="53" spans="1:13" x14ac:dyDescent="0.3">
      <c r="A53" s="6">
        <f t="shared" si="1"/>
        <v>49</v>
      </c>
      <c r="B53" s="1" t="s">
        <v>52</v>
      </c>
      <c r="C53" s="7" t="s">
        <v>28</v>
      </c>
      <c r="D53" s="7" t="s">
        <v>768</v>
      </c>
      <c r="E53" s="7" t="s">
        <v>769</v>
      </c>
      <c r="F53" s="7" t="s">
        <v>763</v>
      </c>
      <c r="G53" s="7" t="s">
        <v>53</v>
      </c>
      <c r="H53" s="7"/>
      <c r="I53" s="8"/>
      <c r="J53" s="7" t="s">
        <v>54</v>
      </c>
      <c r="K53" s="7" t="s">
        <v>37</v>
      </c>
      <c r="L53" s="7" t="s">
        <v>55</v>
      </c>
      <c r="M53" s="7" t="s">
        <v>56</v>
      </c>
    </row>
    <row r="54" spans="1:13" x14ac:dyDescent="0.3">
      <c r="A54" s="6">
        <f t="shared" si="1"/>
        <v>50</v>
      </c>
      <c r="B54" s="1" t="s">
        <v>344</v>
      </c>
      <c r="C54" s="7" t="s">
        <v>28</v>
      </c>
      <c r="D54" s="7" t="s">
        <v>770</v>
      </c>
      <c r="E54" s="7" t="s">
        <v>573</v>
      </c>
      <c r="F54" s="7" t="s">
        <v>763</v>
      </c>
      <c r="G54" s="7" t="s">
        <v>345</v>
      </c>
      <c r="H54" s="7"/>
      <c r="I54" s="8"/>
      <c r="J54" s="7" t="s">
        <v>346</v>
      </c>
      <c r="K54" s="7" t="s">
        <v>37</v>
      </c>
      <c r="L54" s="7" t="s">
        <v>347</v>
      </c>
      <c r="M54" s="7" t="s">
        <v>348</v>
      </c>
    </row>
    <row r="55" spans="1:13" x14ac:dyDescent="0.3">
      <c r="A55" s="6">
        <f t="shared" si="1"/>
        <v>51</v>
      </c>
      <c r="B55" s="1" t="s">
        <v>349</v>
      </c>
      <c r="C55" s="7" t="s">
        <v>28</v>
      </c>
      <c r="D55" s="7" t="s">
        <v>771</v>
      </c>
      <c r="E55" s="7" t="s">
        <v>579</v>
      </c>
      <c r="F55" s="7" t="s">
        <v>763</v>
      </c>
      <c r="G55" s="7" t="s">
        <v>350</v>
      </c>
      <c r="H55" s="7"/>
      <c r="I55" s="8"/>
      <c r="J55" s="7" t="s">
        <v>351</v>
      </c>
      <c r="K55" s="7" t="s">
        <v>352</v>
      </c>
      <c r="L55" s="7" t="s">
        <v>353</v>
      </c>
      <c r="M55" s="7" t="s">
        <v>354</v>
      </c>
    </row>
    <row r="56" spans="1:13" x14ac:dyDescent="0.3">
      <c r="A56" s="6">
        <f t="shared" si="1"/>
        <v>52</v>
      </c>
      <c r="B56" s="1" t="s">
        <v>355</v>
      </c>
      <c r="C56" s="7" t="s">
        <v>28</v>
      </c>
      <c r="D56" s="7" t="s">
        <v>772</v>
      </c>
      <c r="E56" s="7" t="s">
        <v>584</v>
      </c>
      <c r="F56" s="7" t="s">
        <v>763</v>
      </c>
      <c r="G56" s="7" t="s">
        <v>356</v>
      </c>
      <c r="H56" s="7"/>
      <c r="I56" s="8"/>
      <c r="J56" s="7" t="s">
        <v>357</v>
      </c>
      <c r="K56" s="7" t="s">
        <v>19</v>
      </c>
      <c r="L56" s="7" t="s">
        <v>358</v>
      </c>
      <c r="M56" s="7" t="s">
        <v>359</v>
      </c>
    </row>
    <row r="57" spans="1:13" x14ac:dyDescent="0.3">
      <c r="A57" s="6">
        <f t="shared" si="1"/>
        <v>53</v>
      </c>
      <c r="B57" s="1" t="s">
        <v>221</v>
      </c>
      <c r="C57" s="7" t="s">
        <v>28</v>
      </c>
      <c r="D57" s="7" t="s">
        <v>773</v>
      </c>
      <c r="E57" s="7" t="s">
        <v>774</v>
      </c>
      <c r="F57" s="7" t="s">
        <v>763</v>
      </c>
      <c r="G57" s="7" t="s">
        <v>222</v>
      </c>
      <c r="H57" s="7"/>
      <c r="I57" s="8"/>
      <c r="J57" s="7" t="s">
        <v>223</v>
      </c>
      <c r="K57" s="7" t="s">
        <v>224</v>
      </c>
      <c r="L57" s="7" t="s">
        <v>225</v>
      </c>
      <c r="M57" s="7" t="s">
        <v>226</v>
      </c>
    </row>
    <row r="58" spans="1:13" x14ac:dyDescent="0.3">
      <c r="A58" s="6">
        <f t="shared" si="1"/>
        <v>54</v>
      </c>
      <c r="B58" s="1" t="s">
        <v>57</v>
      </c>
      <c r="C58" s="7" t="s">
        <v>28</v>
      </c>
      <c r="D58" s="7" t="s">
        <v>673</v>
      </c>
      <c r="E58" s="7" t="s">
        <v>775</v>
      </c>
      <c r="F58" s="7" t="s">
        <v>776</v>
      </c>
      <c r="G58" s="7" t="s">
        <v>58</v>
      </c>
      <c r="H58" s="7"/>
      <c r="I58" s="8"/>
      <c r="J58" s="7" t="s">
        <v>59</v>
      </c>
      <c r="K58" s="7" t="s">
        <v>19</v>
      </c>
      <c r="L58" s="7" t="s">
        <v>60</v>
      </c>
      <c r="M58" s="7" t="s">
        <v>61</v>
      </c>
    </row>
    <row r="59" spans="1:13" x14ac:dyDescent="0.3">
      <c r="A59" s="6">
        <f t="shared" si="1"/>
        <v>55</v>
      </c>
      <c r="B59" s="1" t="s">
        <v>62</v>
      </c>
      <c r="C59" s="7" t="s">
        <v>28</v>
      </c>
      <c r="D59" s="7" t="s">
        <v>673</v>
      </c>
      <c r="E59" s="7" t="s">
        <v>436</v>
      </c>
      <c r="F59" s="7" t="s">
        <v>763</v>
      </c>
      <c r="G59" s="7" t="s">
        <v>63</v>
      </c>
      <c r="H59" s="7"/>
      <c r="I59" s="8"/>
      <c r="J59" s="7" t="s">
        <v>777</v>
      </c>
      <c r="K59" s="7" t="s">
        <v>65</v>
      </c>
      <c r="L59" s="7" t="s">
        <v>66</v>
      </c>
      <c r="M59" s="7" t="s">
        <v>67</v>
      </c>
    </row>
    <row r="60" spans="1:13" x14ac:dyDescent="0.3">
      <c r="A60" s="6">
        <f t="shared" si="1"/>
        <v>56</v>
      </c>
      <c r="B60" s="1" t="s">
        <v>360</v>
      </c>
      <c r="C60" s="7" t="s">
        <v>28</v>
      </c>
      <c r="D60" s="7" t="s">
        <v>778</v>
      </c>
      <c r="E60" s="7" t="s">
        <v>594</v>
      </c>
      <c r="F60" s="7" t="s">
        <v>779</v>
      </c>
      <c r="G60" s="7" t="s">
        <v>361</v>
      </c>
      <c r="H60" s="7"/>
      <c r="I60" s="8"/>
      <c r="J60" s="7" t="s">
        <v>362</v>
      </c>
      <c r="K60" s="7" t="s">
        <v>363</v>
      </c>
      <c r="L60" s="7" t="s">
        <v>364</v>
      </c>
      <c r="M60" s="7" t="s">
        <v>365</v>
      </c>
    </row>
    <row r="61" spans="1:13" x14ac:dyDescent="0.3">
      <c r="A61" s="6">
        <f t="shared" si="1"/>
        <v>57</v>
      </c>
      <c r="B61" s="1" t="s">
        <v>68</v>
      </c>
      <c r="C61" s="7" t="s">
        <v>28</v>
      </c>
      <c r="D61" s="7" t="s">
        <v>780</v>
      </c>
      <c r="E61" s="7" t="s">
        <v>781</v>
      </c>
      <c r="F61" s="7" t="s">
        <v>776</v>
      </c>
      <c r="G61" s="7" t="s">
        <v>70</v>
      </c>
      <c r="H61" s="7"/>
      <c r="I61" s="8"/>
      <c r="J61" s="7" t="s">
        <v>71</v>
      </c>
      <c r="K61" s="7" t="s">
        <v>19</v>
      </c>
      <c r="L61" s="7" t="s">
        <v>72</v>
      </c>
      <c r="M61" s="7" t="s">
        <v>73</v>
      </c>
    </row>
    <row r="62" spans="1:13" x14ac:dyDescent="0.3">
      <c r="A62" s="6">
        <f t="shared" si="1"/>
        <v>58</v>
      </c>
      <c r="B62" s="1" t="s">
        <v>227</v>
      </c>
      <c r="C62" s="7" t="s">
        <v>28</v>
      </c>
      <c r="D62" s="7" t="s">
        <v>673</v>
      </c>
      <c r="E62" s="7" t="s">
        <v>574</v>
      </c>
      <c r="F62" s="7" t="s">
        <v>763</v>
      </c>
      <c r="G62" s="7" t="s">
        <v>228</v>
      </c>
      <c r="H62" s="7"/>
      <c r="I62" s="8"/>
      <c r="J62" s="7" t="s">
        <v>229</v>
      </c>
      <c r="K62" s="7" t="s">
        <v>230</v>
      </c>
      <c r="L62" s="7" t="s">
        <v>231</v>
      </c>
      <c r="M62" s="7" t="s">
        <v>232</v>
      </c>
    </row>
    <row r="63" spans="1:13" x14ac:dyDescent="0.3">
      <c r="A63" s="6">
        <f t="shared" si="1"/>
        <v>59</v>
      </c>
      <c r="B63" s="1" t="s">
        <v>233</v>
      </c>
      <c r="C63" s="7" t="s">
        <v>28</v>
      </c>
      <c r="D63" s="7" t="s">
        <v>574</v>
      </c>
      <c r="E63" s="7" t="s">
        <v>782</v>
      </c>
      <c r="F63" s="7" t="s">
        <v>763</v>
      </c>
      <c r="G63" s="7" t="s">
        <v>234</v>
      </c>
      <c r="H63" s="7"/>
      <c r="I63" s="8"/>
      <c r="J63" s="7" t="s">
        <v>235</v>
      </c>
      <c r="K63" s="7" t="s">
        <v>49</v>
      </c>
      <c r="L63" s="7" t="s">
        <v>236</v>
      </c>
      <c r="M63" s="7" t="s">
        <v>237</v>
      </c>
    </row>
    <row r="64" spans="1:13" x14ac:dyDescent="0.3">
      <c r="A64" s="6">
        <f t="shared" si="1"/>
        <v>60</v>
      </c>
      <c r="B64" s="1" t="s">
        <v>366</v>
      </c>
      <c r="C64" s="7" t="s">
        <v>28</v>
      </c>
      <c r="D64" s="7" t="s">
        <v>574</v>
      </c>
      <c r="E64" s="7" t="s">
        <v>604</v>
      </c>
      <c r="F64" s="7" t="s">
        <v>763</v>
      </c>
      <c r="G64" s="7" t="s">
        <v>367</v>
      </c>
      <c r="H64" s="7"/>
      <c r="I64" s="8"/>
      <c r="J64" s="7"/>
      <c r="K64" s="7"/>
      <c r="L64" s="7"/>
      <c r="M64" s="7"/>
    </row>
    <row r="65" spans="1:13" x14ac:dyDescent="0.3">
      <c r="A65" s="6">
        <f t="shared" si="1"/>
        <v>61</v>
      </c>
      <c r="B65" s="1" t="s">
        <v>372</v>
      </c>
      <c r="C65" s="7" t="s">
        <v>373</v>
      </c>
      <c r="D65" s="7" t="s">
        <v>574</v>
      </c>
      <c r="E65" s="7" t="s">
        <v>615</v>
      </c>
      <c r="F65" s="7" t="s">
        <v>763</v>
      </c>
      <c r="G65" s="7" t="s">
        <v>374</v>
      </c>
      <c r="H65" s="7"/>
      <c r="I65" s="8"/>
      <c r="J65" s="7"/>
      <c r="K65" s="7"/>
      <c r="L65" s="7"/>
      <c r="M65" s="7"/>
    </row>
    <row r="66" spans="1:13" x14ac:dyDescent="0.3">
      <c r="A66" s="6">
        <f t="shared" si="1"/>
        <v>62</v>
      </c>
      <c r="B66" s="1" t="s">
        <v>238</v>
      </c>
      <c r="C66" s="7" t="s">
        <v>239</v>
      </c>
      <c r="D66" s="7"/>
      <c r="E66" s="7"/>
      <c r="F66" s="7"/>
      <c r="G66" s="7" t="s">
        <v>240</v>
      </c>
      <c r="H66" s="7"/>
      <c r="I66" s="8"/>
      <c r="J66" s="7"/>
      <c r="K66" s="7"/>
      <c r="L66" s="7"/>
      <c r="M66" s="7"/>
    </row>
  </sheetData>
  <autoFilter ref="A4:M66" xr:uid="{9BBD5829-28DC-4370-8B47-3F59336E192A}"/>
  <conditionalFormatting sqref="H17:I17 H20:I20 I21:I66 H67:I1048576">
    <cfRule type="containsText" dxfId="2" priority="4" operator="containsText" text="Got response">
      <formula>NOT(ISERROR(SEARCH("Got response",H17)))</formula>
    </cfRule>
  </conditionalFormatting>
  <conditionalFormatting sqref="I4:I16">
    <cfRule type="containsText" dxfId="1" priority="3" operator="containsText" text="Got response">
      <formula>NOT(ISERROR(SEARCH("Got response",I4)))</formula>
    </cfRule>
  </conditionalFormatting>
  <conditionalFormatting sqref="I18:I19">
    <cfRule type="containsText" dxfId="0" priority="2" operator="containsText" text="Got response">
      <formula>NOT(ISERROR(SEARCH("Got response",I18)))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Master sheets and emailers &gt;&gt;&gt;</vt:lpstr>
      <vt:lpstr>PE names final</vt:lpstr>
      <vt:lpstr>PE porfolio names final</vt:lpstr>
      <vt:lpstr>Emailing schedule</vt:lpstr>
      <vt:lpstr>Additional &gt;&gt;&gt;</vt:lpstr>
      <vt:lpstr>Remaining PE companies</vt:lpstr>
      <vt:lpstr>PE summary analysis</vt:lpstr>
      <vt:lpstr>PE names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Vighnesh Ramayanam</dc:creator>
  <cp:keywords/>
  <dc:description/>
  <cp:lastModifiedBy>Vighnesh Ramayanam</cp:lastModifiedBy>
  <cp:revision/>
  <dcterms:created xsi:type="dcterms:W3CDTF">2026-01-08T12:37:02Z</dcterms:created>
  <dcterms:modified xsi:type="dcterms:W3CDTF">2026-06-19T15:25:45Z</dcterms:modified>
  <cp:category/>
  <cp:contentStatus/>
</cp:coreProperties>
</file>