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hneshRamayanam\Desktop\"/>
    </mc:Choice>
  </mc:AlternateContent>
  <xr:revisionPtr revIDLastSave="0" documentId="8_{C20CD487-A3BF-460C-88EC-916BF4D43F74}" xr6:coauthVersionLast="47" xr6:coauthVersionMax="47" xr10:uidLastSave="{00000000-0000-0000-0000-000000000000}"/>
  <bookViews>
    <workbookView xWindow="-105" yWindow="-16320" windowWidth="29040" windowHeight="16440" xr2:uid="{28825D49-5EA0-45D1-B965-484BB15B30FB}"/>
  </bookViews>
  <sheets>
    <sheet name="Company list 1" sheetId="3" r:id="rId1"/>
    <sheet name="Company list 2" sheetId="12" r:id="rId2"/>
    <sheet name="Company list 3" sheetId="13" r:id="rId3"/>
    <sheet name="Emailing schedule" sheetId="11" r:id="rId4"/>
  </sheets>
  <definedNames>
    <definedName name="_xlnm._FilterDatabase" localSheetId="0" hidden="1">'Company list 1'!$A$6:$Q$77</definedName>
    <definedName name="_xlnm._FilterDatabase" localSheetId="1" hidden="1">'Company list 2'!$A$6:$N$56</definedName>
    <definedName name="_xlnm._FilterDatabase" localSheetId="2" hidden="1">'Company list 3'!$A$6:$N$56</definedName>
    <definedName name="_xlnm._FilterDatabase" localSheetId="3" hidden="1">'Emailing schedule'!$A$6:$M$76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3" l="1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36" i="3"/>
  <c r="B57" i="11" l="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16" i="11" l="1"/>
  <c r="B15" i="11"/>
  <c r="B14" i="11"/>
  <c r="B13" i="11"/>
  <c r="B12" i="11"/>
  <c r="B11" i="11"/>
  <c r="B10" i="11"/>
  <c r="B9" i="11"/>
  <c r="B8" i="11"/>
  <c r="B7" i="11"/>
  <c r="G56" i="13" l="1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A3" i="13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A3" i="12"/>
  <c r="H48" i="3"/>
  <c r="H49" i="3"/>
  <c r="H50" i="3"/>
  <c r="H51" i="3"/>
  <c r="H52" i="3"/>
  <c r="H53" i="3"/>
  <c r="H47" i="3"/>
  <c r="H46" i="3"/>
  <c r="H45" i="3"/>
  <c r="H44" i="3"/>
  <c r="H43" i="3"/>
  <c r="H42" i="3"/>
  <c r="H41" i="3"/>
  <c r="H40" i="3"/>
  <c r="H39" i="3"/>
  <c r="H38" i="3"/>
  <c r="H37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A3" i="3" l="1"/>
  <c r="E1" i="11"/>
  <c r="D61" i="11" l="1"/>
  <c r="D57" i="11"/>
  <c r="D65" i="11"/>
  <c r="D69" i="11"/>
  <c r="D73" i="11"/>
  <c r="E61" i="11"/>
  <c r="E65" i="11"/>
  <c r="E69" i="11"/>
  <c r="E73" i="11"/>
  <c r="D66" i="11"/>
  <c r="D70" i="11"/>
  <c r="D74" i="11"/>
  <c r="E62" i="11"/>
  <c r="E66" i="11"/>
  <c r="E70" i="11"/>
  <c r="E74" i="11"/>
  <c r="D67" i="11"/>
  <c r="D71" i="11"/>
  <c r="D75" i="11"/>
  <c r="E63" i="11"/>
  <c r="E67" i="11"/>
  <c r="E71" i="11"/>
  <c r="E75" i="11"/>
  <c r="E57" i="11"/>
  <c r="D58" i="11"/>
  <c r="D62" i="11"/>
  <c r="E58" i="11"/>
  <c r="D59" i="11"/>
  <c r="D63" i="11"/>
  <c r="E59" i="11"/>
  <c r="D64" i="11"/>
  <c r="D68" i="11"/>
  <c r="D72" i="11"/>
  <c r="D76" i="11"/>
  <c r="E64" i="11"/>
  <c r="E68" i="11"/>
  <c r="E72" i="11"/>
  <c r="E76" i="11"/>
  <c r="D60" i="11"/>
  <c r="E60" i="11"/>
  <c r="D20" i="11"/>
  <c r="E23" i="11"/>
  <c r="E27" i="11"/>
  <c r="E31" i="11"/>
  <c r="D35" i="11"/>
  <c r="D39" i="11"/>
  <c r="D43" i="11"/>
  <c r="E39" i="11"/>
  <c r="E43" i="11"/>
  <c r="D47" i="11"/>
  <c r="D54" i="11"/>
  <c r="E47" i="11"/>
  <c r="E51" i="11"/>
  <c r="E54" i="11"/>
  <c r="E40" i="11"/>
  <c r="D48" i="11"/>
  <c r="D55" i="11"/>
  <c r="E55" i="11"/>
  <c r="E25" i="11"/>
  <c r="E33" i="11"/>
  <c r="D41" i="11"/>
  <c r="E41" i="11"/>
  <c r="D49" i="11"/>
  <c r="D26" i="11"/>
  <c r="D34" i="11"/>
  <c r="E26" i="11"/>
  <c r="E34" i="11"/>
  <c r="D42" i="11"/>
  <c r="E19" i="11"/>
  <c r="E20" i="11"/>
  <c r="E35" i="11"/>
  <c r="D51" i="11"/>
  <c r="D25" i="11"/>
  <c r="D33" i="11"/>
  <c r="E48" i="11"/>
  <c r="D18" i="11"/>
  <c r="D45" i="11"/>
  <c r="E18" i="11"/>
  <c r="D30" i="11"/>
  <c r="E49" i="11"/>
  <c r="E30" i="11"/>
  <c r="D46" i="11"/>
  <c r="E53" i="11"/>
  <c r="D24" i="11"/>
  <c r="D28" i="11"/>
  <c r="D32" i="11"/>
  <c r="D29" i="11"/>
  <c r="E37" i="11"/>
  <c r="D56" i="11"/>
  <c r="D17" i="11"/>
  <c r="D21" i="11"/>
  <c r="E24" i="11"/>
  <c r="E28" i="11"/>
  <c r="E32" i="11"/>
  <c r="D36" i="11"/>
  <c r="D40" i="11"/>
  <c r="D44" i="11"/>
  <c r="E17" i="11"/>
  <c r="E21" i="11"/>
  <c r="E36" i="11"/>
  <c r="E44" i="11"/>
  <c r="D52" i="11"/>
  <c r="E52" i="11"/>
  <c r="D22" i="11"/>
  <c r="E29" i="11"/>
  <c r="D37" i="11"/>
  <c r="E22" i="11"/>
  <c r="E45" i="11"/>
  <c r="E56" i="11"/>
  <c r="D19" i="11"/>
  <c r="D38" i="11"/>
  <c r="E38" i="11"/>
  <c r="E42" i="11"/>
  <c r="D50" i="11"/>
  <c r="D53" i="11"/>
  <c r="D23" i="11"/>
  <c r="D27" i="11"/>
  <c r="D31" i="11"/>
  <c r="E46" i="11"/>
  <c r="E50" i="11"/>
  <c r="E2" i="11"/>
  <c r="E15" i="11"/>
  <c r="E10" i="11"/>
  <c r="E14" i="11"/>
  <c r="E9" i="11"/>
  <c r="D9" i="11"/>
  <c r="D14" i="11"/>
  <c r="D10" i="11"/>
  <c r="E16" i="11"/>
  <c r="D15" i="11"/>
  <c r="E12" i="11"/>
  <c r="D7" i="11"/>
  <c r="E13" i="11"/>
  <c r="E11" i="11"/>
  <c r="E7" i="11"/>
  <c r="E8" i="11"/>
  <c r="D13" i="11"/>
  <c r="D12" i="11"/>
  <c r="D8" i="11"/>
  <c r="D11" i="11"/>
  <c r="D16" i="11"/>
  <c r="F68" i="11" l="1"/>
  <c r="G68" i="11" s="1"/>
  <c r="J64" i="11"/>
  <c r="G64" i="11"/>
  <c r="H64" i="11" s="1"/>
  <c r="L64" i="11"/>
  <c r="I64" i="11"/>
  <c r="M64" i="11" s="1"/>
  <c r="F64" i="11"/>
  <c r="K64" i="11"/>
  <c r="F73" i="11"/>
  <c r="J73" i="11" s="1"/>
  <c r="F69" i="11"/>
  <c r="J69" i="11" s="1"/>
  <c r="F65" i="11"/>
  <c r="G65" i="11" s="1"/>
  <c r="H65" i="11" s="1"/>
  <c r="I65" i="11" s="1"/>
  <c r="M65" i="11" s="1"/>
  <c r="F59" i="11"/>
  <c r="G59" i="11" s="1"/>
  <c r="H59" i="11" s="1"/>
  <c r="L59" i="11" s="1"/>
  <c r="F61" i="11"/>
  <c r="G61" i="11" s="1"/>
  <c r="H61" i="11" s="1"/>
  <c r="I61" i="11" s="1"/>
  <c r="M61" i="11" s="1"/>
  <c r="F74" i="11"/>
  <c r="J74" i="11" s="1"/>
  <c r="F58" i="11"/>
  <c r="G58" i="11" s="1"/>
  <c r="K58" i="11" s="1"/>
  <c r="F70" i="11"/>
  <c r="G70" i="11" s="1"/>
  <c r="H70" i="11" s="1"/>
  <c r="L70" i="11" s="1"/>
  <c r="F76" i="11"/>
  <c r="G76" i="11"/>
  <c r="H76" i="11" s="1"/>
  <c r="J76" i="11"/>
  <c r="K76" i="11"/>
  <c r="L76" i="11"/>
  <c r="I76" i="11"/>
  <c r="M76" i="11" s="1"/>
  <c r="F66" i="11"/>
  <c r="J66" i="11" s="1"/>
  <c r="F57" i="11"/>
  <c r="J57" i="11" s="1"/>
  <c r="F75" i="11"/>
  <c r="G75" i="11" s="1"/>
  <c r="K75" i="11" s="1"/>
  <c r="F71" i="11"/>
  <c r="G71" i="11" s="1"/>
  <c r="F67" i="11"/>
  <c r="J67" i="11" s="1"/>
  <c r="F63" i="11"/>
  <c r="J63" i="11" s="1"/>
  <c r="F60" i="11"/>
  <c r="G60" i="11" s="1"/>
  <c r="K60" i="11"/>
  <c r="H60" i="11"/>
  <c r="I60" i="11" s="1"/>
  <c r="M60" i="11" s="1"/>
  <c r="J60" i="11"/>
  <c r="L60" i="11"/>
  <c r="F72" i="11"/>
  <c r="G72" i="11"/>
  <c r="H72" i="11" s="1"/>
  <c r="J72" i="11"/>
  <c r="I72" i="11"/>
  <c r="M72" i="11" s="1"/>
  <c r="L72" i="11"/>
  <c r="K72" i="11"/>
  <c r="F62" i="11"/>
  <c r="J62" i="11" s="1"/>
  <c r="F41" i="11"/>
  <c r="J41" i="11" s="1"/>
  <c r="F46" i="11"/>
  <c r="G46" i="11" s="1"/>
  <c r="H46" i="11" s="1"/>
  <c r="F53" i="11"/>
  <c r="J53" i="11" s="1"/>
  <c r="F35" i="11"/>
  <c r="J35" i="11" s="1"/>
  <c r="F32" i="11"/>
  <c r="J32" i="11" s="1"/>
  <c r="F20" i="11"/>
  <c r="J20" i="11"/>
  <c r="G20" i="11"/>
  <c r="K20" i="11" s="1"/>
  <c r="H20" i="11"/>
  <c r="I20" i="11"/>
  <c r="M20" i="11" s="1"/>
  <c r="L20" i="11"/>
  <c r="F29" i="11"/>
  <c r="J29" i="11" s="1"/>
  <c r="F28" i="11"/>
  <c r="G28" i="11" s="1"/>
  <c r="K28" i="11" s="1"/>
  <c r="F30" i="11"/>
  <c r="J30" i="11" s="1"/>
  <c r="F19" i="11"/>
  <c r="J19" i="11" s="1"/>
  <c r="F55" i="11"/>
  <c r="J55" i="11" s="1"/>
  <c r="F24" i="11"/>
  <c r="K24" i="11"/>
  <c r="M24" i="11"/>
  <c r="G24" i="11"/>
  <c r="H24" i="11" s="1"/>
  <c r="I24" i="11" s="1"/>
  <c r="J24" i="11"/>
  <c r="L24" i="11"/>
  <c r="F49" i="11"/>
  <c r="G49" i="11" s="1"/>
  <c r="H49" i="11" s="1"/>
  <c r="L49" i="11" s="1"/>
  <c r="F52" i="11"/>
  <c r="J52" i="11" s="1"/>
  <c r="F34" i="11"/>
  <c r="J34" i="11" s="1"/>
  <c r="F31" i="11"/>
  <c r="J31" i="11"/>
  <c r="G31" i="11"/>
  <c r="K31" i="11" s="1"/>
  <c r="H31" i="11"/>
  <c r="L31" i="11" s="1"/>
  <c r="I31" i="11"/>
  <c r="M31" i="11" s="1"/>
  <c r="F21" i="11"/>
  <c r="H21" i="11"/>
  <c r="L21" i="11" s="1"/>
  <c r="G21" i="11"/>
  <c r="K21" i="11"/>
  <c r="J21" i="11"/>
  <c r="I21" i="11"/>
  <c r="M21" i="11" s="1"/>
  <c r="F48" i="11"/>
  <c r="G48" i="11" s="1"/>
  <c r="H48" i="11" s="1"/>
  <c r="F47" i="11"/>
  <c r="J47" i="11" s="1"/>
  <c r="F17" i="11"/>
  <c r="J17" i="11" s="1"/>
  <c r="G17" i="11"/>
  <c r="K17" i="11"/>
  <c r="H17" i="11"/>
  <c r="L17" i="11"/>
  <c r="I17" i="11"/>
  <c r="M17" i="11" s="1"/>
  <c r="F43" i="11"/>
  <c r="G43" i="11" s="1"/>
  <c r="H43" i="11" s="1"/>
  <c r="F39" i="11"/>
  <c r="G39" i="11" s="1"/>
  <c r="K39" i="11" s="1"/>
  <c r="F25" i="11"/>
  <c r="G25" i="11" s="1"/>
  <c r="H25" i="11" s="1"/>
  <c r="L25" i="11" s="1"/>
  <c r="F26" i="11"/>
  <c r="G26" i="11" s="1"/>
  <c r="F27" i="11"/>
  <c r="G27" i="11" s="1"/>
  <c r="K27" i="11" s="1"/>
  <c r="F38" i="11"/>
  <c r="J38" i="11" s="1"/>
  <c r="F44" i="11"/>
  <c r="J44" i="11" s="1"/>
  <c r="F54" i="11"/>
  <c r="J54" i="11" s="1"/>
  <c r="F23" i="11"/>
  <c r="J23" i="11" s="1"/>
  <c r="F56" i="11"/>
  <c r="G56" i="11" s="1"/>
  <c r="H56" i="11" s="1"/>
  <c r="F50" i="11"/>
  <c r="J50" i="11" s="1"/>
  <c r="F45" i="11"/>
  <c r="J45" i="11" s="1"/>
  <c r="F22" i="11"/>
  <c r="J22" i="11" s="1"/>
  <c r="F33" i="11"/>
  <c r="G33" i="11" s="1"/>
  <c r="F42" i="11"/>
  <c r="J42" i="11" s="1"/>
  <c r="F18" i="11"/>
  <c r="J18" i="11" s="1"/>
  <c r="H18" i="11"/>
  <c r="G18" i="11"/>
  <c r="K18" i="11" s="1"/>
  <c r="L18" i="11"/>
  <c r="I18" i="11"/>
  <c r="M18" i="11" s="1"/>
  <c r="F40" i="11"/>
  <c r="G40" i="11" s="1"/>
  <c r="F36" i="11"/>
  <c r="G36" i="11" s="1"/>
  <c r="K36" i="11" s="1"/>
  <c r="F37" i="11"/>
  <c r="J37" i="11" s="1"/>
  <c r="F51" i="11"/>
  <c r="G51" i="11" s="1"/>
  <c r="K51" i="11" s="1"/>
  <c r="F11" i="11"/>
  <c r="F7" i="11"/>
  <c r="E5" i="11"/>
  <c r="F14" i="11"/>
  <c r="F16" i="11"/>
  <c r="F15" i="11"/>
  <c r="F13" i="11"/>
  <c r="F10" i="11"/>
  <c r="F12" i="11"/>
  <c r="F9" i="11"/>
  <c r="F8" i="11"/>
  <c r="C5" i="11"/>
  <c r="B5" i="11"/>
  <c r="G73" i="11" l="1"/>
  <c r="H73" i="11" s="1"/>
  <c r="K70" i="11"/>
  <c r="G63" i="11"/>
  <c r="K63" i="11" s="1"/>
  <c r="J75" i="11"/>
  <c r="K59" i="11"/>
  <c r="G69" i="11"/>
  <c r="H69" i="11" s="1"/>
  <c r="I69" i="11" s="1"/>
  <c r="M69" i="11" s="1"/>
  <c r="J68" i="11"/>
  <c r="K61" i="11"/>
  <c r="J71" i="11"/>
  <c r="J70" i="11"/>
  <c r="H75" i="11"/>
  <c r="L75" i="11" s="1"/>
  <c r="I70" i="11"/>
  <c r="M70" i="11" s="1"/>
  <c r="L65" i="11"/>
  <c r="K65" i="11"/>
  <c r="H58" i="11"/>
  <c r="G62" i="11"/>
  <c r="J58" i="11"/>
  <c r="J59" i="11"/>
  <c r="G66" i="11"/>
  <c r="H66" i="11" s="1"/>
  <c r="I66" i="11" s="1"/>
  <c r="M66" i="11" s="1"/>
  <c r="L61" i="11"/>
  <c r="K71" i="11"/>
  <c r="H71" i="11"/>
  <c r="I71" i="11" s="1"/>
  <c r="M71" i="11" s="1"/>
  <c r="G67" i="11"/>
  <c r="G57" i="11"/>
  <c r="K57" i="11" s="1"/>
  <c r="J61" i="11"/>
  <c r="I59" i="11"/>
  <c r="M59" i="11" s="1"/>
  <c r="K68" i="11"/>
  <c r="H68" i="11"/>
  <c r="J65" i="11"/>
  <c r="G74" i="11"/>
  <c r="G54" i="11"/>
  <c r="H54" i="11" s="1"/>
  <c r="L54" i="11" s="1"/>
  <c r="J51" i="11"/>
  <c r="G53" i="11"/>
  <c r="K53" i="11" s="1"/>
  <c r="G52" i="11"/>
  <c r="J36" i="11"/>
  <c r="J49" i="11"/>
  <c r="I49" i="11"/>
  <c r="M49" i="11" s="1"/>
  <c r="K49" i="11"/>
  <c r="H27" i="11"/>
  <c r="L27" i="11" s="1"/>
  <c r="J27" i="11"/>
  <c r="G45" i="11"/>
  <c r="H45" i="11" s="1"/>
  <c r="I45" i="11" s="1"/>
  <c r="M45" i="11" s="1"/>
  <c r="I56" i="11"/>
  <c r="M56" i="11" s="1"/>
  <c r="L56" i="11"/>
  <c r="J56" i="11"/>
  <c r="J48" i="11"/>
  <c r="K48" i="11"/>
  <c r="K56" i="11"/>
  <c r="G41" i="11"/>
  <c r="G50" i="11"/>
  <c r="H50" i="11" s="1"/>
  <c r="I50" i="11" s="1"/>
  <c r="M50" i="11" s="1"/>
  <c r="G55" i="11"/>
  <c r="H39" i="11"/>
  <c r="L39" i="11" s="1"/>
  <c r="G30" i="11"/>
  <c r="K30" i="11" s="1"/>
  <c r="J46" i="11"/>
  <c r="K43" i="11"/>
  <c r="I46" i="11"/>
  <c r="M46" i="11" s="1"/>
  <c r="L46" i="11"/>
  <c r="K26" i="11"/>
  <c r="H26" i="11"/>
  <c r="J26" i="11"/>
  <c r="G37" i="11"/>
  <c r="J25" i="11"/>
  <c r="G47" i="11"/>
  <c r="H47" i="11" s="1"/>
  <c r="I47" i="11" s="1"/>
  <c r="M47" i="11" s="1"/>
  <c r="G22" i="11"/>
  <c r="H22" i="11" s="1"/>
  <c r="L22" i="11" s="1"/>
  <c r="H51" i="11"/>
  <c r="G34" i="11"/>
  <c r="K34" i="11" s="1"/>
  <c r="G44" i="11"/>
  <c r="H44" i="11" s="1"/>
  <c r="I44" i="11" s="1"/>
  <c r="M44" i="11" s="1"/>
  <c r="K40" i="11"/>
  <c r="H40" i="11"/>
  <c r="I40" i="11" s="1"/>
  <c r="M40" i="11" s="1"/>
  <c r="L48" i="11"/>
  <c r="I48" i="11"/>
  <c r="M48" i="11" s="1"/>
  <c r="H33" i="11"/>
  <c r="K33" i="11"/>
  <c r="J40" i="11"/>
  <c r="J33" i="11"/>
  <c r="J39" i="11"/>
  <c r="G19" i="11"/>
  <c r="G42" i="11"/>
  <c r="G32" i="11"/>
  <c r="G38" i="11"/>
  <c r="I25" i="11"/>
  <c r="M25" i="11" s="1"/>
  <c r="J28" i="11"/>
  <c r="L43" i="11"/>
  <c r="I43" i="11"/>
  <c r="M43" i="11" s="1"/>
  <c r="G29" i="11"/>
  <c r="K46" i="11"/>
  <c r="G23" i="11"/>
  <c r="H36" i="11"/>
  <c r="H28" i="11"/>
  <c r="G35" i="11"/>
  <c r="K25" i="11"/>
  <c r="J43" i="11"/>
  <c r="G15" i="11"/>
  <c r="J15" i="11"/>
  <c r="J16" i="11"/>
  <c r="G16" i="11"/>
  <c r="J10" i="11"/>
  <c r="G10" i="11"/>
  <c r="J8" i="11"/>
  <c r="G8" i="11"/>
  <c r="G14" i="11"/>
  <c r="J14" i="11"/>
  <c r="J11" i="11"/>
  <c r="G11" i="11"/>
  <c r="G13" i="11"/>
  <c r="J13" i="11"/>
  <c r="J12" i="11"/>
  <c r="G12" i="11"/>
  <c r="J9" i="11"/>
  <c r="G9" i="11"/>
  <c r="J7" i="11"/>
  <c r="G7" i="11"/>
  <c r="K73" i="11" l="1"/>
  <c r="I73" i="11"/>
  <c r="M73" i="11" s="1"/>
  <c r="L73" i="11"/>
  <c r="H63" i="11"/>
  <c r="I63" i="11" s="1"/>
  <c r="M63" i="11" s="1"/>
  <c r="L69" i="11"/>
  <c r="K69" i="11"/>
  <c r="L71" i="11"/>
  <c r="I75" i="11"/>
  <c r="M75" i="11" s="1"/>
  <c r="K62" i="11"/>
  <c r="H62" i="11"/>
  <c r="I58" i="11"/>
  <c r="M58" i="11" s="1"/>
  <c r="L58" i="11"/>
  <c r="L66" i="11"/>
  <c r="K66" i="11"/>
  <c r="H67" i="11"/>
  <c r="K67" i="11"/>
  <c r="H57" i="11"/>
  <c r="L57" i="11" s="1"/>
  <c r="K74" i="11"/>
  <c r="H74" i="11"/>
  <c r="I68" i="11"/>
  <c r="M68" i="11" s="1"/>
  <c r="L68" i="11"/>
  <c r="H53" i="11"/>
  <c r="L53" i="11" s="1"/>
  <c r="K54" i="11"/>
  <c r="I54" i="11"/>
  <c r="M54" i="11" s="1"/>
  <c r="I27" i="11"/>
  <c r="M27" i="11" s="1"/>
  <c r="L45" i="11"/>
  <c r="K52" i="11"/>
  <c r="H52" i="11"/>
  <c r="K45" i="11"/>
  <c r="I39" i="11"/>
  <c r="M39" i="11" s="1"/>
  <c r="K50" i="11"/>
  <c r="L50" i="11"/>
  <c r="K41" i="11"/>
  <c r="H41" i="11"/>
  <c r="H30" i="11"/>
  <c r="H55" i="11"/>
  <c r="K55" i="11"/>
  <c r="I22" i="11"/>
  <c r="M22" i="11" s="1"/>
  <c r="L40" i="11"/>
  <c r="K47" i="11"/>
  <c r="L47" i="11"/>
  <c r="K22" i="11"/>
  <c r="H37" i="11"/>
  <c r="K37" i="11"/>
  <c r="K44" i="11"/>
  <c r="I26" i="11"/>
  <c r="M26" i="11" s="1"/>
  <c r="L26" i="11"/>
  <c r="L44" i="11"/>
  <c r="H34" i="11"/>
  <c r="I34" i="11" s="1"/>
  <c r="M34" i="11" s="1"/>
  <c r="L51" i="11"/>
  <c r="I51" i="11"/>
  <c r="M51" i="11" s="1"/>
  <c r="K19" i="11"/>
  <c r="H19" i="11"/>
  <c r="L33" i="11"/>
  <c r="I33" i="11"/>
  <c r="M33" i="11" s="1"/>
  <c r="K42" i="11"/>
  <c r="H42" i="11"/>
  <c r="H38" i="11"/>
  <c r="K38" i="11"/>
  <c r="H32" i="11"/>
  <c r="K32" i="11"/>
  <c r="I28" i="11"/>
  <c r="M28" i="11" s="1"/>
  <c r="L28" i="11"/>
  <c r="I36" i="11"/>
  <c r="M36" i="11" s="1"/>
  <c r="L36" i="11"/>
  <c r="K23" i="11"/>
  <c r="H23" i="11"/>
  <c r="H29" i="11"/>
  <c r="K29" i="11"/>
  <c r="H35" i="11"/>
  <c r="K35" i="11"/>
  <c r="H15" i="11"/>
  <c r="K15" i="11"/>
  <c r="H10" i="11"/>
  <c r="K10" i="11"/>
  <c r="H16" i="11"/>
  <c r="K16" i="11"/>
  <c r="H8" i="11"/>
  <c r="K8" i="11"/>
  <c r="K14" i="11"/>
  <c r="H14" i="11"/>
  <c r="H11" i="11"/>
  <c r="K11" i="11"/>
  <c r="H13" i="11"/>
  <c r="K13" i="11"/>
  <c r="H12" i="11"/>
  <c r="K12" i="11"/>
  <c r="K7" i="11"/>
  <c r="H7" i="11"/>
  <c r="H9" i="11"/>
  <c r="K9" i="11"/>
  <c r="L63" i="11" l="1"/>
  <c r="I57" i="11"/>
  <c r="M57" i="11" s="1"/>
  <c r="L62" i="11"/>
  <c r="I62" i="11"/>
  <c r="M62" i="11" s="1"/>
  <c r="L67" i="11"/>
  <c r="I67" i="11"/>
  <c r="M67" i="11" s="1"/>
  <c r="I74" i="11"/>
  <c r="M74" i="11" s="1"/>
  <c r="L74" i="11"/>
  <c r="I53" i="11"/>
  <c r="M53" i="11" s="1"/>
  <c r="L52" i="11"/>
  <c r="I52" i="11"/>
  <c r="M52" i="11" s="1"/>
  <c r="I30" i="11"/>
  <c r="M30" i="11" s="1"/>
  <c r="L30" i="11"/>
  <c r="L41" i="11"/>
  <c r="I41" i="11"/>
  <c r="M41" i="11" s="1"/>
  <c r="L55" i="11"/>
  <c r="I55" i="11"/>
  <c r="M55" i="11" s="1"/>
  <c r="I37" i="11"/>
  <c r="M37" i="11" s="1"/>
  <c r="L37" i="11"/>
  <c r="L34" i="11"/>
  <c r="L19" i="11"/>
  <c r="I19" i="11"/>
  <c r="M19" i="11" s="1"/>
  <c r="I32" i="11"/>
  <c r="M32" i="11" s="1"/>
  <c r="L32" i="11"/>
  <c r="I38" i="11"/>
  <c r="M38" i="11" s="1"/>
  <c r="L38" i="11"/>
  <c r="L42" i="11"/>
  <c r="I42" i="11"/>
  <c r="M42" i="11" s="1"/>
  <c r="L35" i="11"/>
  <c r="I35" i="11"/>
  <c r="M35" i="11" s="1"/>
  <c r="L29" i="11"/>
  <c r="I29" i="11"/>
  <c r="M29" i="11" s="1"/>
  <c r="I23" i="11"/>
  <c r="M23" i="11" s="1"/>
  <c r="L23" i="11"/>
  <c r="I16" i="11"/>
  <c r="M16" i="11" s="1"/>
  <c r="L16" i="11"/>
  <c r="I15" i="11"/>
  <c r="M15" i="11" s="1"/>
  <c r="L15" i="11"/>
  <c r="L10" i="11"/>
  <c r="I10" i="11"/>
  <c r="M10" i="11" s="1"/>
  <c r="I8" i="11"/>
  <c r="M8" i="11" s="1"/>
  <c r="L8" i="11"/>
  <c r="I14" i="11"/>
  <c r="M14" i="11" s="1"/>
  <c r="L14" i="11"/>
  <c r="I11" i="11"/>
  <c r="M11" i="11" s="1"/>
  <c r="L11" i="11"/>
  <c r="I13" i="11"/>
  <c r="M13" i="11" s="1"/>
  <c r="L13" i="11"/>
  <c r="L7" i="11"/>
  <c r="I7" i="11"/>
  <c r="M7" i="11" s="1"/>
  <c r="I12" i="11"/>
  <c r="M12" i="11" s="1"/>
  <c r="L12" i="11"/>
  <c r="L9" i="11"/>
  <c r="I9" i="11"/>
  <c r="M9" i="11" s="1"/>
  <c r="C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Vighnesh Ramayanam</author>
  </authors>
  <commentList>
    <comment ref="A2" authorId="0" shapeId="0" xr:uid="{30E698D7-F8B7-484F-8BF3-850D84355CA1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Converts source data into rupees, formula is embedded in column G</t>
        </r>
      </text>
    </comment>
    <comment ref="A3" authorId="0" shapeId="0" xr:uid="{6B727BFB-DF26-40D2-BDF6-91A7B583C510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Counts number of companies</t>
        </r>
      </text>
    </comment>
    <comment ref="A41" authorId="0" shapeId="0" xr:uid="{32E257BF-E755-4119-9C39-E4E029978E6D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Mention Rabo Partnerships and investments in the region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Vighnesh Ramayanam</author>
  </authors>
  <commentList>
    <comment ref="A2" authorId="0" shapeId="0" xr:uid="{26D0D35B-FBED-4EBE-A10D-0B5BA82989E9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Converts source data into rupees, formula is embedded in column G</t>
        </r>
      </text>
    </comment>
    <comment ref="A3" authorId="0" shapeId="0" xr:uid="{06882365-7518-4D42-BE7C-89A47C6F6F66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Counts number of companies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Vighnesh Ramayanam</author>
  </authors>
  <commentList>
    <comment ref="A2" authorId="0" shapeId="0" xr:uid="{7A916587-73C8-40F0-8766-900641F6A110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Converts source data into rupees, formula is embedded in column G</t>
        </r>
      </text>
    </comment>
    <comment ref="A3" authorId="0" shapeId="0" xr:uid="{FB1236AB-30FB-42D2-8697-C2053D951B71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Counts number of companies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Vighnesh Ramayanam</author>
  </authors>
  <commentList>
    <comment ref="E2" authorId="0" shapeId="0" xr:uid="{3A320BAB-90A9-4300-AC4F-39952B9F58C5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Make sure this includes the totals from each sheet to be subtracted from "Count" in this sheet</t>
        </r>
      </text>
    </comment>
    <comment ref="B5" authorId="0" shapeId="0" xr:uid="{1A01D724-39B0-4037-9EDA-347A04A2CBB6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Outputs Error:
- Corresponding company name does not match with the previous sheets/ there is no name
- There are duplicates amongst the same sheet or throughout multiple sheets
Outputs Gp:
- Company name matches once amongst the different sheets
- No errors</t>
        </r>
      </text>
    </comment>
    <comment ref="C6" authorId="0" shapeId="0" xr:uid="{4BC8E199-8194-435E-8630-D6AEE5E73A31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Optional: Add a formula to mention which project the company name corresponds to, if working on multiple outreaches</t>
        </r>
      </text>
    </comment>
  </commentList>
</comments>
</file>

<file path=xl/sharedStrings.xml><?xml version="1.0" encoding="utf-8"?>
<sst xmlns="http://schemas.openxmlformats.org/spreadsheetml/2006/main" count="989" uniqueCount="531">
  <si>
    <t>Linkedin</t>
  </si>
  <si>
    <t>Email Id</t>
  </si>
  <si>
    <t>Designation</t>
  </si>
  <si>
    <t>Contact Name</t>
  </si>
  <si>
    <t>Status</t>
  </si>
  <si>
    <t>HQ</t>
  </si>
  <si>
    <t>Company name</t>
  </si>
  <si>
    <t>Website link</t>
  </si>
  <si>
    <t>Headcount</t>
  </si>
  <si>
    <t>Rev (INR Cr)</t>
  </si>
  <si>
    <t>Revenue from source</t>
  </si>
  <si>
    <t>Rationale</t>
  </si>
  <si>
    <t>Initial email</t>
  </si>
  <si>
    <t>Company Name</t>
  </si>
  <si>
    <t>Exchange rate as on date</t>
  </si>
  <si>
    <t>Next set of emails due in (days)</t>
  </si>
  <si>
    <t>Count</t>
  </si>
  <si>
    <t>Check</t>
  </si>
  <si>
    <t>Regarding</t>
  </si>
  <si>
    <t>Initial date</t>
  </si>
  <si>
    <t>Bi-weekly follow up</t>
  </si>
  <si>
    <t>Follow ups (in days)</t>
  </si>
  <si>
    <t>X</t>
  </si>
  <si>
    <t>[Client] target/buyer name</t>
  </si>
  <si>
    <t>Check to previous sheets</t>
  </si>
  <si>
    <t>Mandala Capital</t>
  </si>
  <si>
    <t>JM Financial</t>
  </si>
  <si>
    <t>Catamaran Ventures</t>
  </si>
  <si>
    <t>Convergent Finance</t>
  </si>
  <si>
    <t>Sharrp Ventures</t>
  </si>
  <si>
    <t>DS Group</t>
  </si>
  <si>
    <t>RP Sanjiv Goenka Family Office</t>
  </si>
  <si>
    <t>Negen Capital</t>
  </si>
  <si>
    <t>Lighthouse Funds</t>
  </si>
  <si>
    <t>Carpediem Capital</t>
  </si>
  <si>
    <t>https://mandala-capital.com/</t>
  </si>
  <si>
    <t>https://jmfpe.com/JMFinancialIndiaFund</t>
  </si>
  <si>
    <t>https://catamaran.in/</t>
  </si>
  <si>
    <t>https://convergentfinance.com/</t>
  </si>
  <si>
    <t>https://www.sharrpventures.com/</t>
  </si>
  <si>
    <t>https://www.dsgroup.com/</t>
  </si>
  <si>
    <t>https://www.rpsg.in/</t>
  </si>
  <si>
    <t>https://www.negencat3.com/</t>
  </si>
  <si>
    <t>https://www.lhfunds.com/</t>
  </si>
  <si>
    <t>https://carpediem-capital.com/</t>
  </si>
  <si>
    <t>Food and agriculture focused</t>
  </si>
  <si>
    <t>Growth Fund III focus on agri allied businesses</t>
  </si>
  <si>
    <t>Narayana Murthy family investment office</t>
  </si>
  <si>
    <t>Food and agriculture sector investments</t>
  </si>
  <si>
    <t>Harsh Mariwala family investment office</t>
  </si>
  <si>
    <t>Dharampal Satyapal family investment office</t>
  </si>
  <si>
    <t>Sanjiv Goenka family investment office</t>
  </si>
  <si>
    <t>Negen Investment Trust - Category III Alternative Investment Fund</t>
  </si>
  <si>
    <t>$25-100m cheque size</t>
  </si>
  <si>
    <t>Invests in consumer and B2B brands</t>
  </si>
  <si>
    <t>Type</t>
  </si>
  <si>
    <t>PE</t>
  </si>
  <si>
    <t>FO</t>
  </si>
  <si>
    <t>PMS</t>
  </si>
  <si>
    <t>Bucket</t>
  </si>
  <si>
    <t>Direct</t>
  </si>
  <si>
    <t>Secondary</t>
  </si>
  <si>
    <t>Godavari Biorefineries</t>
  </si>
  <si>
    <t>Bighaat Agro</t>
  </si>
  <si>
    <t>Akshayakalpa</t>
  </si>
  <si>
    <t>Hindustan Foods Limited</t>
  </si>
  <si>
    <t>Parsons Nutritionals</t>
  </si>
  <si>
    <t>Agri</t>
  </si>
  <si>
    <t>Harrisons Malyalam Limited</t>
  </si>
  <si>
    <t>N/A</t>
  </si>
  <si>
    <t>Trufrost &amp; Butler</t>
  </si>
  <si>
    <t>Relevant Investments</t>
  </si>
  <si>
    <t>amody@mandala-capital.com</t>
  </si>
  <si>
    <t>Aditya Mody</t>
  </si>
  <si>
    <t>Managing Director</t>
  </si>
  <si>
    <t>https://www.linkedin.com/in/modyaditya/</t>
  </si>
  <si>
    <t>Vinit Rai</t>
  </si>
  <si>
    <t>vinit.rai@jmfl.com</t>
  </si>
  <si>
    <t>https://www.linkedin.com/in/raivinit/</t>
  </si>
  <si>
    <t>Harsha Raghavan</t>
  </si>
  <si>
    <t>Managing Partner</t>
  </si>
  <si>
    <t>harsha@convergentfinance.com</t>
  </si>
  <si>
    <t>https://www.linkedin.com/in/harsha-raghavan-1218a11b5/</t>
  </si>
  <si>
    <t>Sheetal Unadkat Bhat</t>
  </si>
  <si>
    <t>Head of PE</t>
  </si>
  <si>
    <t>sheetal@catamaran.in</t>
  </si>
  <si>
    <t>https://www.linkedin.com/in/sheetal-unadkat-bhat-26a49111/</t>
  </si>
  <si>
    <t>Divya Gupta</t>
  </si>
  <si>
    <t>divya.gupta@sharrpventures.com</t>
  </si>
  <si>
    <t>Principal</t>
  </si>
  <si>
    <t>https://www.linkedin.com/in/divya-gupta-5b2a5814/</t>
  </si>
  <si>
    <t>Kunal Bhanot</t>
  </si>
  <si>
    <t>kunal.bhanot@dsgroup.com</t>
  </si>
  <si>
    <t>https://www.linkedin.com/in/kunal-bhanot-5273b139/</t>
  </si>
  <si>
    <t>Anshumaan Khetawat</t>
  </si>
  <si>
    <t>anshumaan.khetawat@rpsg.in</t>
  </si>
  <si>
    <t>https://www.linkedin.com/in/akhetawat/</t>
  </si>
  <si>
    <t>Jigar Shah</t>
  </si>
  <si>
    <t>Director</t>
  </si>
  <si>
    <t>jigar@negencapital.com</t>
  </si>
  <si>
    <t>https://www.linkedin.com/in/jigar-shah-88a44b10/</t>
  </si>
  <si>
    <t>Vivek Kumar</t>
  </si>
  <si>
    <t>vivek@lhfunds.com</t>
  </si>
  <si>
    <t>https://www.linkedin.com/in/vivek-kumar-8ab93717/</t>
  </si>
  <si>
    <t>Tejas Gupte</t>
  </si>
  <si>
    <t>Vice President</t>
  </si>
  <si>
    <t>tejas@carpediem-capital.com</t>
  </si>
  <si>
    <t>https://www.linkedin.com/in/tejas-gupte-57278698/</t>
  </si>
  <si>
    <t>Narotam Sekhsaria Family Office</t>
  </si>
  <si>
    <t>Narotam Sekhsaria family investment office</t>
  </si>
  <si>
    <t>https://www.sekhsaria.com/index.html</t>
  </si>
  <si>
    <t>Anicut Capital</t>
  </si>
  <si>
    <t>PE/PC</t>
  </si>
  <si>
    <t>Invests in B2B and consumer brands</t>
  </si>
  <si>
    <t>Khetika</t>
  </si>
  <si>
    <t>Satyanarayan Sekhsaria Private Limited</t>
  </si>
  <si>
    <t>https://www.anicutcapital.com/</t>
  </si>
  <si>
    <t>Invests in food and agriculture</t>
  </si>
  <si>
    <t>Siddhi Vinayak Agri Processing Pvt Ltd</t>
  </si>
  <si>
    <t>Lok Capital</t>
  </si>
  <si>
    <t>https://www.lokcapital.com/</t>
  </si>
  <si>
    <t>Peepul Capital Advisors</t>
  </si>
  <si>
    <t>Invests in the consumer sector</t>
  </si>
  <si>
    <t>https://www.peepulcapital.com/</t>
  </si>
  <si>
    <t>Innovative Foods Ltd.</t>
  </si>
  <si>
    <t>SN Damani</t>
  </si>
  <si>
    <t>https://www.sndamani.com/</t>
  </si>
  <si>
    <t>Invests in food producers</t>
  </si>
  <si>
    <t>Strategic</t>
  </si>
  <si>
    <t>Eeki</t>
  </si>
  <si>
    <t>Pankil Shah</t>
  </si>
  <si>
    <t>Investment Professional</t>
  </si>
  <si>
    <t>pankil@sekhsaria.com</t>
  </si>
  <si>
    <t>https://www.linkedin.com/in/pankil-shah-21b5194/</t>
  </si>
  <si>
    <t>sayyam@lokcapital.com</t>
  </si>
  <si>
    <t>Sayyam Jain</t>
  </si>
  <si>
    <t>Investment Associate</t>
  </si>
  <si>
    <t>https://www.linkedin.com/in/sayyamvjain/</t>
  </si>
  <si>
    <t>Priya Mam reach out</t>
  </si>
  <si>
    <t>Got response</t>
  </si>
  <si>
    <t>MGA Ventures</t>
  </si>
  <si>
    <t>PE/VC</t>
  </si>
  <si>
    <t>https://www.mgaventures.in/</t>
  </si>
  <si>
    <t>Hardiki Shah</t>
  </si>
  <si>
    <t>Investment Analyst</t>
  </si>
  <si>
    <t>hardikishah@mgaventures.in</t>
  </si>
  <si>
    <t>https://www.linkedin.com/in/hardikis/</t>
  </si>
  <si>
    <t>Kan Biosys</t>
  </si>
  <si>
    <t>Menterra</t>
  </si>
  <si>
    <t>Invests in early stage companies/agri sector</t>
  </si>
  <si>
    <t>Farm Folks</t>
  </si>
  <si>
    <t>C4D Partners</t>
  </si>
  <si>
    <t>Has a separate fund investing in India (C4D Bharat Shubharambh Fund)</t>
  </si>
  <si>
    <t>Aliet Green</t>
  </si>
  <si>
    <t>https://c4dpartners.com/</t>
  </si>
  <si>
    <t>https://www.menterra.com/</t>
  </si>
  <si>
    <t>Acumen</t>
  </si>
  <si>
    <t>USA</t>
  </si>
  <si>
    <t>Invests in Indian agri companies</t>
  </si>
  <si>
    <t>Kumaon Tea</t>
  </si>
  <si>
    <t>https://acumen.org/</t>
  </si>
  <si>
    <t>Aavishkaar Capital</t>
  </si>
  <si>
    <t>Mumbai</t>
  </si>
  <si>
    <t>Invests in Indian agri companies; ticket size between $5-25m</t>
  </si>
  <si>
    <t>https://aavishkaarcapital.in/</t>
  </si>
  <si>
    <t>8F Asset Management</t>
  </si>
  <si>
    <t>Singapore</t>
  </si>
  <si>
    <t>Invests in agri/acqua companies</t>
  </si>
  <si>
    <t>https://8f-am.com/</t>
  </si>
  <si>
    <t>Ocean14 Capital</t>
  </si>
  <si>
    <t>UK</t>
  </si>
  <si>
    <t>Invests in acqua companies with some Indian investments</t>
  </si>
  <si>
    <t>https://ocean14capital.com/</t>
  </si>
  <si>
    <t>Invests in Asian food production and processing brands</t>
  </si>
  <si>
    <t>Proterra</t>
  </si>
  <si>
    <t>https://www.proterrapartners.com/</t>
  </si>
  <si>
    <t>responsAbility</t>
  </si>
  <si>
    <t>Switzerland</t>
  </si>
  <si>
    <t>Invests in Indian food and agri producers</t>
  </si>
  <si>
    <t>Ace International</t>
  </si>
  <si>
    <t>https://www.responsability.com/</t>
  </si>
  <si>
    <t>Seviora</t>
  </si>
  <si>
    <t>Invests with an Asia focus with AM holding companies (Temasek holding)</t>
  </si>
  <si>
    <t>https://www.sevioragroup.com/</t>
  </si>
  <si>
    <t>Blue Earth Capital</t>
  </si>
  <si>
    <t>https://blueearth.capital/</t>
  </si>
  <si>
    <t>Captain Fresh</t>
  </si>
  <si>
    <t>Mukesh Sharma</t>
  </si>
  <si>
    <t>https://www.linkedin.com/in/mukesh-sharma-ca-cfa-9b09475/</t>
  </si>
  <si>
    <t>CIO/Co-Founder</t>
  </si>
  <si>
    <t>mukesh@menterra.com</t>
  </si>
  <si>
    <t>investments@c4dpartners.com</t>
  </si>
  <si>
    <t>Arvind Agarwal</t>
  </si>
  <si>
    <t>CEO/Founder</t>
  </si>
  <si>
    <t>https://www.linkedin.com/in/arvind-agarwal-in/</t>
  </si>
  <si>
    <t>nphilip@acumen.org</t>
  </si>
  <si>
    <t>Nidhisha Philip</t>
  </si>
  <si>
    <t>Manager</t>
  </si>
  <si>
    <t>https://www.linkedin.com/in/nidhisha-philip/</t>
  </si>
  <si>
    <t>harsh@aavishkaar.in</t>
  </si>
  <si>
    <t>Harsh Kherajani</t>
  </si>
  <si>
    <t>https://www.linkedin.com/in/harsh-kherajani-461b01185/</t>
  </si>
  <si>
    <t>contact@8f-am.com</t>
  </si>
  <si>
    <t>https://www.linkedin.com/company/8f-asset-management-pte-ltd/</t>
  </si>
  <si>
    <t>Ricardo Cires</t>
  </si>
  <si>
    <t>Portfolio and Investments</t>
  </si>
  <si>
    <t>ricardo.cires@ocean14capital.com</t>
  </si>
  <si>
    <t>https://www.linkedin.com/in/ricardo-cires-a5348535/</t>
  </si>
  <si>
    <t>ebarros@proterrapartners.com</t>
  </si>
  <si>
    <t>Eduardo Barros</t>
  </si>
  <si>
    <t>https://www.linkedin.com/in/eduardo-barros-87606b17/</t>
  </si>
  <si>
    <t>Akshay Dua</t>
  </si>
  <si>
    <t>akshay.dua@responsability.com</t>
  </si>
  <si>
    <t>https://www.linkedin.com/in/akshay-dua-3626382/</t>
  </si>
  <si>
    <t>Jeremy P.</t>
  </si>
  <si>
    <t>Investments</t>
  </si>
  <si>
    <t>jeremy.phua@sevioracapital.com</t>
  </si>
  <si>
    <t>https://www.linkedin.com/in/jeremyphua/</t>
  </si>
  <si>
    <t>espenugland.haugen@blueearth.capital</t>
  </si>
  <si>
    <t>Espen Haugen</t>
  </si>
  <si>
    <t>Investor</t>
  </si>
  <si>
    <t>https://www.linkedin.com/in/espen-ugland-haugen/</t>
  </si>
  <si>
    <t>British International Investment</t>
  </si>
  <si>
    <t>Invests in devoloping economies</t>
  </si>
  <si>
    <t>https://www.bii.co.uk/en/</t>
  </si>
  <si>
    <t>Vaibhav Soni</t>
  </si>
  <si>
    <t>Investment Executive</t>
  </si>
  <si>
    <t>vsoni@bii.co.uk</t>
  </si>
  <si>
    <t>https://www.linkedin.com/in/vaibhav-soni/</t>
  </si>
  <si>
    <t>Horizon Group</t>
  </si>
  <si>
    <t>Bounced</t>
  </si>
  <si>
    <t>Advent International</t>
  </si>
  <si>
    <t>https://www.adventinternational.com/</t>
  </si>
  <si>
    <t>Mohammed Anjarwala</t>
  </si>
  <si>
    <t>Partner</t>
  </si>
  <si>
    <t>manjarwala@adventinternational.com</t>
  </si>
  <si>
    <t>https://www.linkedin.com/in/anjarwala/</t>
  </si>
  <si>
    <t>DFM Foods</t>
  </si>
  <si>
    <t>Invests in consumer and B2B brands in India</t>
  </si>
  <si>
    <t>Navis Capital Partners</t>
  </si>
  <si>
    <t>Invests in Indian companies and food processing brands</t>
  </si>
  <si>
    <t>https://www.naviscapital.com/</t>
  </si>
  <si>
    <t>Srithai</t>
  </si>
  <si>
    <t>Malaysia</t>
  </si>
  <si>
    <t>NAB Ventures</t>
  </si>
  <si>
    <t>Invests in agri/food processing companies</t>
  </si>
  <si>
    <t>Fambo</t>
  </si>
  <si>
    <t>https://nabventures.in/Default.aspx</t>
  </si>
  <si>
    <t>Omnivore</t>
  </si>
  <si>
    <t>Gordon C.</t>
  </si>
  <si>
    <t>Operating Partner</t>
  </si>
  <si>
    <t>gchan@naviscapital.com</t>
  </si>
  <si>
    <t>https://www.linkedin.com/in/gordon-c-2118734/</t>
  </si>
  <si>
    <t>VC</t>
  </si>
  <si>
    <t>vbhatt@nabventures.com</t>
  </si>
  <si>
    <t>Vikas Bhatt</t>
  </si>
  <si>
    <t>https://www.linkedin.com/in/vikas-bhatt-162bb810/</t>
  </si>
  <si>
    <t xml:space="preserve">reihem@omnivore.vc </t>
  </si>
  <si>
    <t>Reihem Roy</t>
  </si>
  <si>
    <t>https://www.linkedin.com/in/reihem/</t>
  </si>
  <si>
    <t>https://omnivore.vc/</t>
  </si>
  <si>
    <t>Invests in food companies</t>
  </si>
  <si>
    <t>Evolvence Capital</t>
  </si>
  <si>
    <t>Sid's Farm</t>
  </si>
  <si>
    <t>https://www.evolvenceequity.com/</t>
  </si>
  <si>
    <t>agrata@evolvenceindia.com</t>
  </si>
  <si>
    <t>Agrata Gupta</t>
  </si>
  <si>
    <t>https://www.linkedin.com/in/agratagupta/</t>
  </si>
  <si>
    <t>Hyderabad</t>
  </si>
  <si>
    <t>Invests in food related companies</t>
  </si>
  <si>
    <t>Invests in food related companies and food processing</t>
  </si>
  <si>
    <t>Origo</t>
  </si>
  <si>
    <t>Caspian Capital</t>
  </si>
  <si>
    <t>https://www.caspian.in/</t>
  </si>
  <si>
    <t>Ankur Capital</t>
  </si>
  <si>
    <t>https://www.ankurcapital.com/</t>
  </si>
  <si>
    <t>Rabo Investments</t>
  </si>
  <si>
    <t>Netherlands</t>
  </si>
  <si>
    <t>Has an Indian arm</t>
  </si>
  <si>
    <t>https://raboinvestments.com/</t>
  </si>
  <si>
    <t>Prosus Ventures</t>
  </si>
  <si>
    <t>Invests in Indian food related companies</t>
  </si>
  <si>
    <t>https://www.prosus.com/</t>
  </si>
  <si>
    <t>DeHaat</t>
  </si>
  <si>
    <t>CX Partners</t>
  </si>
  <si>
    <t>Delhi</t>
  </si>
  <si>
    <t>https://www.cxpartners.in/#main</t>
  </si>
  <si>
    <t>WhiteOak Capital Management</t>
  </si>
  <si>
    <t>Invests in consumer stapes</t>
  </si>
  <si>
    <t>operiwal@yahoo.co.uk</t>
  </si>
  <si>
    <t>Om Prakash Periwal</t>
  </si>
  <si>
    <t>Co-Head - Private Investments</t>
  </si>
  <si>
    <t>https://www.linkedin.com/in/om-prakash-periwal-cfa-a277345/</t>
  </si>
  <si>
    <t>https://www.whiteoakindia.com/</t>
  </si>
  <si>
    <t>Motilal Oswal Private Equity</t>
  </si>
  <si>
    <t>Invests in seafood companies</t>
  </si>
  <si>
    <t>https://www.motilaloswalgroup.com/Our-Businesses/Private-Equity</t>
  </si>
  <si>
    <t>Trunorth</t>
  </si>
  <si>
    <t>Sesa Care</t>
  </si>
  <si>
    <t>Mahinder Singh Juneja</t>
  </si>
  <si>
    <t>maninder@truenorth.co.in</t>
  </si>
  <si>
    <t>https://www.linkedin.com/in/maninder-singh-juneja-35a01a13/</t>
  </si>
  <si>
    <t>Invests in consumer good export companies</t>
  </si>
  <si>
    <t>https://www.truenorth.co.in/</t>
  </si>
  <si>
    <t>ravinarasimham@caspian.in</t>
  </si>
  <si>
    <t>Ravi Narasimham</t>
  </si>
  <si>
    <t>https://www.linkedin.com/in/ravi-narasimham/</t>
  </si>
  <si>
    <t>krishnan@ankurcapital.com</t>
  </si>
  <si>
    <t>Krishnan Neelakantan</t>
  </si>
  <si>
    <t>https://www.linkedin.com/in/krishnan-neelakantan-a429258/</t>
  </si>
  <si>
    <t>Pieter van der Meche</t>
  </si>
  <si>
    <t>pieter.van.der.meche@rabobank.com</t>
  </si>
  <si>
    <t>https://www.linkedin.com/in/pvdmeche/</t>
  </si>
  <si>
    <t>apoorve.goyal@prosus.com</t>
  </si>
  <si>
    <t>Apoorve Goyal</t>
  </si>
  <si>
    <t>https://www.linkedin.com/in/apoorve-goyal-67967797/</t>
  </si>
  <si>
    <t>Samara Capital</t>
  </si>
  <si>
    <t>vinayak@cxpartners.in</t>
  </si>
  <si>
    <t>Vinayak Shenvi</t>
  </si>
  <si>
    <t>https://www.linkedin.com/in/vinayak-shenvi-1933b0309/</t>
  </si>
  <si>
    <t>radhika.kedia@motilaloswal.com</t>
  </si>
  <si>
    <t>Radhika Kedia</t>
  </si>
  <si>
    <t>Investments Team</t>
  </si>
  <si>
    <t>https://www.linkedin.com/in/radhika-kedia-b5107a113/</t>
  </si>
  <si>
    <t>akash.agarwal@samaracapital.com</t>
  </si>
  <si>
    <t>Akash Agarwal</t>
  </si>
  <si>
    <t>PE Analyst</t>
  </si>
  <si>
    <t>https://www.linkedin.com/in/akash-agarwal-0a1459140/</t>
  </si>
  <si>
    <t>Invests in consumer brands</t>
  </si>
  <si>
    <t>https://samaracapital.com/</t>
  </si>
  <si>
    <t>Sundrop Brands</t>
  </si>
  <si>
    <t>Sixth Sense</t>
  </si>
  <si>
    <t>Pushp Brand</t>
  </si>
  <si>
    <t>https://sixthsenseventures.com/</t>
  </si>
  <si>
    <t>Kedaara</t>
  </si>
  <si>
    <t>Dairy Day</t>
  </si>
  <si>
    <t>https://kedaara.com/</t>
  </si>
  <si>
    <t>A91 Partners</t>
  </si>
  <si>
    <t>Chrys Capital</t>
  </si>
  <si>
    <t>Theobroma</t>
  </si>
  <si>
    <t>Mauritius</t>
  </si>
  <si>
    <t>Everstone Capital</t>
  </si>
  <si>
    <t>Burger King</t>
  </si>
  <si>
    <t>https://a91partners.com/</t>
  </si>
  <si>
    <t>https://chryscapital.com/</t>
  </si>
  <si>
    <t>https://everstonecapital.com/</t>
  </si>
  <si>
    <t>Faering Capital</t>
  </si>
  <si>
    <t>Invests in packaged food and related</t>
  </si>
  <si>
    <t>Prataap Snacks</t>
  </si>
  <si>
    <t>https://www.faeringcapital.com/index</t>
  </si>
  <si>
    <t>Lightrock</t>
  </si>
  <si>
    <t>Waycool</t>
  </si>
  <si>
    <t>Invests in food processing and related companies</t>
  </si>
  <si>
    <t>https://www.lightrock.com/</t>
  </si>
  <si>
    <t>Gulf Capital</t>
  </si>
  <si>
    <t>Invests in food processing and Indian brands</t>
  </si>
  <si>
    <t>CHO Company</t>
  </si>
  <si>
    <t>Abu Dhabi</t>
  </si>
  <si>
    <t>Daiwa PI Partners</t>
  </si>
  <si>
    <t>Invests in agri companies and India</t>
  </si>
  <si>
    <t>Marine Pro Foods</t>
  </si>
  <si>
    <t>https://www.dpipartners.co.jp/en/</t>
  </si>
  <si>
    <t>https://www.gulfcapital.com/</t>
  </si>
  <si>
    <t>kathan@sixth-sense.in</t>
  </si>
  <si>
    <t>Kathan Shah</t>
  </si>
  <si>
    <t>https://www.linkedin.com/in/shahkathan/</t>
  </si>
  <si>
    <t>Manish Kejriwal</t>
  </si>
  <si>
    <t>Founder/Managing Partner</t>
  </si>
  <si>
    <t>manish.kejriwal@kedaara.com</t>
  </si>
  <si>
    <t>https://www.linkedin.com/in/manish-kejriwal-1a7336/</t>
  </si>
  <si>
    <t>prajesh@a91partners.com</t>
  </si>
  <si>
    <t>AVP</t>
  </si>
  <si>
    <t>Prajesh Dawda</t>
  </si>
  <si>
    <t>https://www.linkedin.com/in/prajesh-dawda-284b4297/</t>
  </si>
  <si>
    <t>connel@chryscapital.com</t>
  </si>
  <si>
    <t>Connel Coelho</t>
  </si>
  <si>
    <t>https://www.linkedin.com/in/connel-coelho-cfa-79974043/</t>
  </si>
  <si>
    <t>rfatnani@everstonecapital.com</t>
  </si>
  <si>
    <t>Ronak Fatnani</t>
  </si>
  <si>
    <t>https://www.linkedin.com/in/ronak-fatnani-613477189/</t>
  </si>
  <si>
    <t>shyam@faeringcapital.com</t>
  </si>
  <si>
    <t>Shyam Patwari</t>
  </si>
  <si>
    <t>https://www.linkedin.com/in/shyampatwari/</t>
  </si>
  <si>
    <t>ankit@lightrock.com</t>
  </si>
  <si>
    <t>https://www.linkedin.com/in/ankit-solanki-599801138/</t>
  </si>
  <si>
    <t>Ankit Solanki</t>
  </si>
  <si>
    <t>Mohammad Madani</t>
  </si>
  <si>
    <t>mmadani@gulfcapital.com</t>
  </si>
  <si>
    <t>https://www.linkedin.com/in/mohammad-madani-2a47bb9/</t>
  </si>
  <si>
    <t>Japan</t>
  </si>
  <si>
    <t>abhinav.goswami@daiwapipsg.com</t>
  </si>
  <si>
    <t>Abhinav Goswami</t>
  </si>
  <si>
    <t>Senior Director</t>
  </si>
  <si>
    <t>https://www.linkedin.com/in/abhigoswami/</t>
  </si>
  <si>
    <t>Saint Capital Fund</t>
  </si>
  <si>
    <t>https://www.saintcapitalfund.com/</t>
  </si>
  <si>
    <t>Kn Agri Resources Limited</t>
  </si>
  <si>
    <t>Alteria Capital</t>
  </si>
  <si>
    <t>Invests in agri companies</t>
  </si>
  <si>
    <t>https://alteriacapital.com/</t>
  </si>
  <si>
    <t>DSG Consumer Partners</t>
  </si>
  <si>
    <t>https://www.dsgcp.com/?_gl=1*148wqhx*_up*MQ..*_ga*MTQ5Njk1NjI3MC4xNzc5ODc2NzY1*_ga_604EX73PD8*czE3Nzk4NzY3NjQkbzEkZzEkdDE3Nzk4NzczNjckajYwJGwwJGgw</t>
  </si>
  <si>
    <t>Anveshan</t>
  </si>
  <si>
    <t>Incofin Investment Management</t>
  </si>
  <si>
    <t>Belgium</t>
  </si>
  <si>
    <t>https://incofin.com/</t>
  </si>
  <si>
    <t>Singularity AMC</t>
  </si>
  <si>
    <t>https://singularityamc.com/</t>
  </si>
  <si>
    <t>Verlinvest</t>
  </si>
  <si>
    <t>Mutti</t>
  </si>
  <si>
    <t>Brussels</t>
  </si>
  <si>
    <t>https://www.verlinvest.com/</t>
  </si>
  <si>
    <t>Invests in global Indian consumer companies</t>
  </si>
  <si>
    <t> mayank@saintcapitalfund.com</t>
  </si>
  <si>
    <t>https://www.linkedin.com/in/mayank-agrawal-606514314/</t>
  </si>
  <si>
    <t>yash@alteriacapital.com</t>
  </si>
  <si>
    <t>Yash Jain</t>
  </si>
  <si>
    <t>Mayank Agarwal</t>
  </si>
  <si>
    <t>Senior VP</t>
  </si>
  <si>
    <t>https://www.linkedin.com/in/yash-jain-260946a7/</t>
  </si>
  <si>
    <t>vparekh@dsgcp.com</t>
  </si>
  <si>
    <t>Varun Parekh</t>
  </si>
  <si>
    <t>https://www.linkedin.com/in/varun-parekh-3b84b7148/</t>
  </si>
  <si>
    <t>ritesh.modi@incofin.com</t>
  </si>
  <si>
    <t>Ritesh Modi</t>
  </si>
  <si>
    <t>Senior Investment Manager</t>
  </si>
  <si>
    <t>https://www.linkedin.com/in/modiritesh79/</t>
  </si>
  <si>
    <t>sahil@singularityamc.in</t>
  </si>
  <si>
    <t>Sahil Gala</t>
  </si>
  <si>
    <t>https://www.linkedin.com/in/sahil-gala-3a271b102/</t>
  </si>
  <si>
    <t>kchablani@verlinvest.asia</t>
  </si>
  <si>
    <t>Krishna Chablani</t>
  </si>
  <si>
    <t>https://www.linkedin.com/in/krishnachablani/</t>
  </si>
  <si>
    <t>Tendercuts</t>
  </si>
  <si>
    <t>https://www.paragonpartners.in/</t>
  </si>
  <si>
    <t>Invests in meat/seafood companies</t>
  </si>
  <si>
    <t>Paragon Partners</t>
  </si>
  <si>
    <t>Asha Ventures</t>
  </si>
  <si>
    <t>Invests in consumer companies</t>
  </si>
  <si>
    <t>Gaja Capital</t>
  </si>
  <si>
    <t>Eggoz Nutrition</t>
  </si>
  <si>
    <t>Previous contact</t>
  </si>
  <si>
    <t>Yes</t>
  </si>
  <si>
    <t>No</t>
  </si>
  <si>
    <t>TVS Capital</t>
  </si>
  <si>
    <t>Dunar Foods Limited</t>
  </si>
  <si>
    <t>Chennai</t>
  </si>
  <si>
    <t>Premji Invest</t>
  </si>
  <si>
    <t>Organic India</t>
  </si>
  <si>
    <t>Bangalore</t>
  </si>
  <si>
    <t>360 One (IIFL PE)</t>
  </si>
  <si>
    <t>Invests in consumer and food processing companies</t>
  </si>
  <si>
    <t>https://ashaventures.in/</t>
  </si>
  <si>
    <t>https://gajacapital.com/</t>
  </si>
  <si>
    <t>https://www.tvscapital.in/</t>
  </si>
  <si>
    <t>https://www.premjiinvest.com/</t>
  </si>
  <si>
    <t>https://www.360.one/</t>
  </si>
  <si>
    <t>https://www.umios.com/en/</t>
  </si>
  <si>
    <t>Multiples Equity</t>
  </si>
  <si>
    <t>Invests in meat companies</t>
  </si>
  <si>
    <t>Licious</t>
  </si>
  <si>
    <t>Kotak Private Equity</t>
  </si>
  <si>
    <t>https://www.kotakalternateasset.com/</t>
  </si>
  <si>
    <t>Umious</t>
  </si>
  <si>
    <t>Invests in/acquires seafood companies</t>
  </si>
  <si>
    <t>Strategics</t>
  </si>
  <si>
    <t>Multiple</t>
  </si>
  <si>
    <t>Nissui</t>
  </si>
  <si>
    <t>https://www.nissui.co.jp/english/index.html</t>
  </si>
  <si>
    <t>Aqua Spark</t>
  </si>
  <si>
    <t>Invests in food processing and production companies</t>
  </si>
  <si>
    <t>https://aqua-spark.nl/</t>
  </si>
  <si>
    <t>Lake Harvest Group</t>
  </si>
  <si>
    <t>Marubeni Consumer Platform</t>
  </si>
  <si>
    <t>Set up a new Indian investment platform in 2026</t>
  </si>
  <si>
    <t>https://marubeni-cp.com/en/news/20260318.html</t>
  </si>
  <si>
    <t>Sojitz</t>
  </si>
  <si>
    <t>Invests in south east Asian companies</t>
  </si>
  <si>
    <t>https://www.sojitz.com/en/</t>
  </si>
  <si>
    <t>Al Dahra</t>
  </si>
  <si>
    <t>Invests in agri companoes</t>
  </si>
  <si>
    <t>https://aldahra.com/</t>
  </si>
  <si>
    <t>UAE</t>
  </si>
  <si>
    <t>Niten Lalpuria</t>
  </si>
  <si>
    <t>niten@paragonpartners.in</t>
  </si>
  <si>
    <t>https://www.linkedin.com/in/nitenl/</t>
  </si>
  <si>
    <t>amit@ashaventures.in</t>
  </si>
  <si>
    <t>Amit Mehta</t>
  </si>
  <si>
    <t>https://www.linkedin.com/in/amit-mehta-6b90b92/</t>
  </si>
  <si>
    <t>dheeraj.devata@gajacapital.com</t>
  </si>
  <si>
    <t>Dheeraj Devata</t>
  </si>
  <si>
    <t>https://www.linkedin.com/in/dheerajdevata/</t>
  </si>
  <si>
    <t>praveen.sridharan@tvscapital.in</t>
  </si>
  <si>
    <t>https://www.linkedin.com/in/praveen-sridharan-7623325/</t>
  </si>
  <si>
    <t>alisha.mittal@premjiinvest.com</t>
  </si>
  <si>
    <t>Alisha Mittal</t>
  </si>
  <si>
    <t>https://www.linkedin.com/in/alisha-mittal-b7a4a4ba/</t>
  </si>
  <si>
    <t>anshuman.maheshwary@iiflw.com</t>
  </si>
  <si>
    <t>Anshuman Maheshwary</t>
  </si>
  <si>
    <t>CEO</t>
  </si>
  <si>
    <t>https://www.linkedin.com/in/anshuman-maheshwary-587323/</t>
  </si>
  <si>
    <t>lub@seafoodconnection.nl</t>
  </si>
  <si>
    <t>Lub van der Berg</t>
  </si>
  <si>
    <t>https://www.linkedin.com/in/lubvandenberg/</t>
  </si>
  <si>
    <t>akshit.sandooja@kotak.com</t>
  </si>
  <si>
    <t>Akshit Sandooja</t>
  </si>
  <si>
    <t>https://www.linkedin.com/in/akshitsandooja/</t>
  </si>
  <si>
    <t>https://www.multiplesequity.com/</t>
  </si>
  <si>
    <t>mehul.agarwal@multiplesequity.com</t>
  </si>
  <si>
    <t>Mehul Agarwal</t>
  </si>
  <si>
    <t>https://www.linkedin.com/in/mehul-agarwal-8a231391/</t>
  </si>
  <si>
    <t>katherine@aquna.com</t>
  </si>
  <si>
    <t>Katherine Bryar</t>
  </si>
  <si>
    <t>https://www.linkedin.com/in/katherinebryar/</t>
  </si>
  <si>
    <t>coco-tay@marubeni-gc.com</t>
  </si>
  <si>
    <t>Coco Tay</t>
  </si>
  <si>
    <t>https://www.linkedin.com/in/coco-tay-b55535a1/</t>
  </si>
  <si>
    <t>katori.kentaro@sojitz.com</t>
  </si>
  <si>
    <t>Kent K.</t>
  </si>
  <si>
    <t>Assistant General Manager</t>
  </si>
  <si>
    <t>https://www.linkedin.com/in/kent-k-231343/</t>
  </si>
  <si>
    <t>tanas.stefan@aldahra.com</t>
  </si>
  <si>
    <t>Tanas Stefan</t>
  </si>
  <si>
    <t>Senior Manager Corporate Development</t>
  </si>
  <si>
    <t>https://www.linkedin.com/in/tanas-stefan/</t>
  </si>
  <si>
    <t>Wonderland Foods</t>
  </si>
  <si>
    <t>Praveen Sridharan</t>
  </si>
  <si>
    <t>Contact not found</t>
  </si>
  <si>
    <t>Kolkata</t>
  </si>
  <si>
    <t>Noida</t>
  </si>
  <si>
    <t>Ashra family investment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</si>
</sst>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rgb="FFFF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3" xfId="0" applyFill="1" applyBorder="1"/>
    <xf numFmtId="165" fontId="0" fillId="2" borderId="3" xfId="1" applyNumberFormat="1" applyFont="1" applyFill="1" applyBorder="1" applyAlignment="1">
      <alignment horizontal="right"/>
    </xf>
    <xf numFmtId="164" fontId="0" fillId="2" borderId="3" xfId="1" applyFon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2" applyFont="1" applyFill="1"/>
    <xf numFmtId="0" fontId="1" fillId="2" borderId="0" xfId="2" applyFill="1"/>
    <xf numFmtId="14" fontId="1" fillId="2" borderId="0" xfId="2" applyNumberFormat="1" applyFill="1"/>
    <xf numFmtId="0" fontId="5" fillId="2" borderId="0" xfId="2" applyFont="1" applyFill="1"/>
    <xf numFmtId="0" fontId="2" fillId="2" borderId="4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14" fontId="2" fillId="2" borderId="5" xfId="2" applyNumberFormat="1" applyFont="1" applyFill="1" applyBorder="1" applyAlignment="1">
      <alignment horizontal="center"/>
    </xf>
    <xf numFmtId="0" fontId="2" fillId="2" borderId="5" xfId="2" applyFont="1" applyFill="1" applyBorder="1" applyAlignment="1">
      <alignment horizontal="centerContinuous"/>
    </xf>
    <xf numFmtId="0" fontId="1" fillId="2" borderId="5" xfId="2" applyFill="1" applyBorder="1" applyAlignment="1">
      <alignment horizontal="centerContinuous"/>
    </xf>
    <xf numFmtId="0" fontId="1" fillId="2" borderId="1" xfId="2" applyFill="1" applyBorder="1"/>
    <xf numFmtId="0" fontId="1" fillId="2" borderId="6" xfId="2" applyFill="1" applyBorder="1" applyAlignment="1">
      <alignment horizontal="centerContinuous"/>
    </xf>
    <xf numFmtId="14" fontId="1" fillId="2" borderId="2" xfId="2" applyNumberFormat="1" applyFill="1" applyBorder="1"/>
    <xf numFmtId="14" fontId="0" fillId="2" borderId="3" xfId="0" applyNumberFormat="1" applyFill="1" applyBorder="1"/>
    <xf numFmtId="0" fontId="1" fillId="2" borderId="2" xfId="2" applyFill="1" applyBorder="1"/>
  </cellXfs>
  <cellStyles count="3">
    <cellStyle name="Comma" xfId="1" builtinId="3"/>
    <cellStyle name="Normal" xfId="0" builtinId="0"/>
    <cellStyle name="Normal 2" xfId="2" xr:uid="{C4B49241-580C-4E84-B15F-2B2EA2331C2F}"/>
  </cellStyles>
  <dxfs count="12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A4A4-EA88-4100-9CE4-58BA65D723B6}">
  <dimension ref="A1:Q77"/>
  <sheetViews>
    <sheetView tabSelected="1" zoomScale="70" zoomScaleNormal="70" workbookViewId="0">
      <pane xSplit="1" ySplit="6" topLeftCell="B7" activePane="bottomRight" state="frozen"/>
      <selection activeCell="C7" sqref="C7"/>
      <selection pane="topRight" activeCell="C7" sqref="C7"/>
      <selection pane="bottomLeft" activeCell="C7" sqref="C7"/>
      <selection pane="bottomRight" activeCell="H17" sqref="H17"/>
    </sheetView>
  </sheetViews>
  <sheetFormatPr defaultColWidth="13.36328125" defaultRowHeight="14.5" outlineLevelCol="1" x14ac:dyDescent="0.35"/>
  <cols>
    <col min="1" max="1" width="31.36328125" style="1" bestFit="1" customWidth="1"/>
    <col min="2" max="2" width="11.54296875" style="1" bestFit="1" customWidth="1"/>
    <col min="3" max="3" width="20.453125" style="1" bestFit="1" customWidth="1"/>
    <col min="4" max="4" width="15.36328125" style="1" bestFit="1" customWidth="1"/>
    <col min="5" max="5" width="13.6328125" style="1" bestFit="1" customWidth="1"/>
    <col min="6" max="6" width="61.7265625" style="1" bestFit="1" customWidth="1"/>
    <col min="7" max="7" width="31.7265625" style="2" hidden="1" customWidth="1" outlineLevel="1"/>
    <col min="8" max="8" width="21.26953125" style="2" hidden="1" customWidth="1" outlineLevel="1"/>
    <col min="9" max="9" width="20.26953125" style="2" hidden="1" customWidth="1" outlineLevel="1"/>
    <col min="10" max="10" width="38.7265625" style="1" bestFit="1" customWidth="1" collapsed="1"/>
    <col min="11" max="11" width="23.81640625" style="1" bestFit="1" customWidth="1"/>
    <col min="12" max="12" width="21.26953125" style="1" bestFit="1" customWidth="1"/>
    <col min="13" max="13" width="33" style="1" bestFit="1" customWidth="1"/>
    <col min="14" max="14" width="58.6328125" style="1" bestFit="1" customWidth="1"/>
    <col min="15" max="15" width="38.26953125" style="1" bestFit="1" customWidth="1"/>
    <col min="16" max="17" width="15.90625" style="1" bestFit="1" customWidth="1"/>
    <col min="18" max="16384" width="13.36328125" style="1"/>
  </cols>
  <sheetData>
    <row r="1" spans="1:17" x14ac:dyDescent="0.35">
      <c r="A1" s="7" t="s">
        <v>23</v>
      </c>
    </row>
    <row r="2" spans="1:17" x14ac:dyDescent="0.35">
      <c r="A2" s="1" t="s">
        <v>14</v>
      </c>
      <c r="B2" s="1" t="s">
        <v>22</v>
      </c>
    </row>
    <row r="3" spans="1:17" x14ac:dyDescent="0.35">
      <c r="A3" s="1">
        <f>COUNTA(A7:A1048576)</f>
        <v>70</v>
      </c>
    </row>
    <row r="6" spans="1:17" x14ac:dyDescent="0.35">
      <c r="A6" s="6" t="s">
        <v>13</v>
      </c>
      <c r="B6" s="6" t="s">
        <v>5</v>
      </c>
      <c r="C6" s="6" t="s">
        <v>12</v>
      </c>
      <c r="D6" s="6" t="s">
        <v>4</v>
      </c>
      <c r="E6" s="6" t="s">
        <v>55</v>
      </c>
      <c r="F6" s="6" t="s">
        <v>11</v>
      </c>
      <c r="G6" s="6" t="s">
        <v>10</v>
      </c>
      <c r="H6" s="6" t="s">
        <v>9</v>
      </c>
      <c r="I6" s="6" t="s">
        <v>8</v>
      </c>
      <c r="J6" s="6" t="s">
        <v>7</v>
      </c>
      <c r="K6" s="6" t="s">
        <v>3</v>
      </c>
      <c r="L6" s="6" t="s">
        <v>2</v>
      </c>
      <c r="M6" s="6" t="s">
        <v>1</v>
      </c>
      <c r="N6" s="6" t="s">
        <v>0</v>
      </c>
      <c r="O6" s="6" t="s">
        <v>71</v>
      </c>
      <c r="P6" s="6" t="s">
        <v>59</v>
      </c>
      <c r="Q6" s="6" t="s">
        <v>441</v>
      </c>
    </row>
    <row r="7" spans="1:17" x14ac:dyDescent="0.35">
      <c r="A7" s="3" t="s">
        <v>25</v>
      </c>
      <c r="B7" t="s">
        <v>340</v>
      </c>
      <c r="C7" s="20">
        <v>46160</v>
      </c>
      <c r="D7" s="20" t="s">
        <v>139</v>
      </c>
      <c r="E7" s="3" t="s">
        <v>56</v>
      </c>
      <c r="F7" s="3" t="s">
        <v>45</v>
      </c>
      <c r="G7" s="5"/>
      <c r="H7" s="5">
        <f>IFERROR((G7*1000000*$B$2)/10000000,0)</f>
        <v>0</v>
      </c>
      <c r="I7" s="4"/>
      <c r="J7" s="3" t="s">
        <v>35</v>
      </c>
      <c r="K7" s="3" t="s">
        <v>73</v>
      </c>
      <c r="L7" s="3" t="s">
        <v>74</v>
      </c>
      <c r="M7" s="3" t="s">
        <v>72</v>
      </c>
      <c r="N7" s="3" t="s">
        <v>75</v>
      </c>
      <c r="O7" s="3" t="s">
        <v>62</v>
      </c>
      <c r="P7" s="3" t="s">
        <v>60</v>
      </c>
      <c r="Q7" s="3" t="s">
        <v>443</v>
      </c>
    </row>
    <row r="8" spans="1:17" x14ac:dyDescent="0.35">
      <c r="A8" s="3" t="s">
        <v>26</v>
      </c>
      <c r="B8" s="3" t="s">
        <v>162</v>
      </c>
      <c r="C8" s="20">
        <v>46160</v>
      </c>
      <c r="D8" s="20" t="s">
        <v>139</v>
      </c>
      <c r="E8" s="3" t="s">
        <v>56</v>
      </c>
      <c r="F8" s="3" t="s">
        <v>46</v>
      </c>
      <c r="G8" s="5"/>
      <c r="H8" s="5">
        <f t="shared" ref="H8:H71" si="0">IFERROR((G8*1000000*$B$2)/10000000,0)</f>
        <v>0</v>
      </c>
      <c r="I8" s="4"/>
      <c r="J8" s="3" t="s">
        <v>36</v>
      </c>
      <c r="K8" s="3" t="s">
        <v>76</v>
      </c>
      <c r="L8" s="3" t="s">
        <v>74</v>
      </c>
      <c r="M8" s="3" t="s">
        <v>77</v>
      </c>
      <c r="N8" s="3" t="s">
        <v>78</v>
      </c>
      <c r="O8" s="3" t="s">
        <v>63</v>
      </c>
      <c r="P8" s="3" t="s">
        <v>60</v>
      </c>
      <c r="Q8" s="3" t="s">
        <v>442</v>
      </c>
    </row>
    <row r="9" spans="1:17" x14ac:dyDescent="0.35">
      <c r="A9" s="3" t="s">
        <v>27</v>
      </c>
      <c r="B9" s="3" t="s">
        <v>449</v>
      </c>
      <c r="C9" s="20">
        <v>46160</v>
      </c>
      <c r="D9" s="20" t="s">
        <v>139</v>
      </c>
      <c r="E9" s="3" t="s">
        <v>57</v>
      </c>
      <c r="F9" s="3" t="s">
        <v>47</v>
      </c>
      <c r="G9" s="5"/>
      <c r="H9" s="5">
        <f t="shared" si="0"/>
        <v>0</v>
      </c>
      <c r="I9" s="4"/>
      <c r="J9" s="3" t="s">
        <v>37</v>
      </c>
      <c r="K9" s="3" t="s">
        <v>83</v>
      </c>
      <c r="L9" s="3" t="s">
        <v>84</v>
      </c>
      <c r="M9" s="3" t="s">
        <v>85</v>
      </c>
      <c r="N9" s="3" t="s">
        <v>86</v>
      </c>
      <c r="O9" s="3" t="s">
        <v>64</v>
      </c>
      <c r="P9" s="3" t="s">
        <v>60</v>
      </c>
      <c r="Q9" s="3" t="s">
        <v>443</v>
      </c>
    </row>
    <row r="10" spans="1:17" x14ac:dyDescent="0.35">
      <c r="A10" s="3" t="s">
        <v>28</v>
      </c>
      <c r="B10" s="3" t="s">
        <v>162</v>
      </c>
      <c r="C10" s="20">
        <v>46160</v>
      </c>
      <c r="D10" s="20" t="s">
        <v>139</v>
      </c>
      <c r="E10" s="3" t="s">
        <v>56</v>
      </c>
      <c r="F10" s="3" t="s">
        <v>48</v>
      </c>
      <c r="G10" s="5"/>
      <c r="H10" s="5">
        <f t="shared" si="0"/>
        <v>0</v>
      </c>
      <c r="I10" s="4"/>
      <c r="J10" s="3" t="s">
        <v>38</v>
      </c>
      <c r="K10" s="3" t="s">
        <v>79</v>
      </c>
      <c r="L10" s="3" t="s">
        <v>80</v>
      </c>
      <c r="M10" s="3" t="s">
        <v>81</v>
      </c>
      <c r="N10" s="3" t="s">
        <v>82</v>
      </c>
      <c r="O10" s="3" t="s">
        <v>65</v>
      </c>
      <c r="P10" s="3" t="s">
        <v>60</v>
      </c>
      <c r="Q10" s="3" t="s">
        <v>442</v>
      </c>
    </row>
    <row r="11" spans="1:17" x14ac:dyDescent="0.35">
      <c r="A11" s="3" t="s">
        <v>29</v>
      </c>
      <c r="B11" s="3" t="s">
        <v>162</v>
      </c>
      <c r="C11" s="20">
        <v>46160</v>
      </c>
      <c r="D11" s="20">
        <v>46188</v>
      </c>
      <c r="E11" s="3" t="s">
        <v>57</v>
      </c>
      <c r="F11" s="3" t="s">
        <v>49</v>
      </c>
      <c r="G11" s="5"/>
      <c r="H11" s="5">
        <f t="shared" si="0"/>
        <v>0</v>
      </c>
      <c r="I11" s="4"/>
      <c r="J11" s="3" t="s">
        <v>39</v>
      </c>
      <c r="K11" s="3" t="s">
        <v>87</v>
      </c>
      <c r="L11" s="3" t="s">
        <v>89</v>
      </c>
      <c r="M11" s="3" t="s">
        <v>88</v>
      </c>
      <c r="N11" s="3" t="s">
        <v>90</v>
      </c>
      <c r="O11" s="3" t="s">
        <v>66</v>
      </c>
      <c r="P11" s="3" t="s">
        <v>60</v>
      </c>
      <c r="Q11" s="3" t="s">
        <v>443</v>
      </c>
    </row>
    <row r="12" spans="1:17" x14ac:dyDescent="0.35">
      <c r="A12" s="3" t="s">
        <v>30</v>
      </c>
      <c r="B12" s="3" t="s">
        <v>529</v>
      </c>
      <c r="C12" s="20">
        <v>46160</v>
      </c>
      <c r="D12" s="20">
        <v>46188</v>
      </c>
      <c r="E12" s="3" t="s">
        <v>57</v>
      </c>
      <c r="F12" s="3" t="s">
        <v>50</v>
      </c>
      <c r="G12" s="5"/>
      <c r="H12" s="5">
        <f t="shared" si="0"/>
        <v>0</v>
      </c>
      <c r="I12" s="4"/>
      <c r="J12" s="3" t="s">
        <v>40</v>
      </c>
      <c r="K12" s="3" t="s">
        <v>91</v>
      </c>
      <c r="L12" s="3" t="s">
        <v>69</v>
      </c>
      <c r="M12" s="3" t="s">
        <v>92</v>
      </c>
      <c r="N12" s="3" t="s">
        <v>93</v>
      </c>
      <c r="O12" s="3" t="s">
        <v>67</v>
      </c>
      <c r="P12" s="3" t="s">
        <v>61</v>
      </c>
      <c r="Q12" s="3" t="s">
        <v>443</v>
      </c>
    </row>
    <row r="13" spans="1:17" x14ac:dyDescent="0.35">
      <c r="A13" s="3" t="s">
        <v>31</v>
      </c>
      <c r="B13" s="3" t="s">
        <v>528</v>
      </c>
      <c r="C13" s="20">
        <v>46160</v>
      </c>
      <c r="D13" s="20" t="s">
        <v>139</v>
      </c>
      <c r="E13" s="3" t="s">
        <v>57</v>
      </c>
      <c r="F13" s="3" t="s">
        <v>51</v>
      </c>
      <c r="G13" s="5"/>
      <c r="H13" s="5">
        <f t="shared" si="0"/>
        <v>0</v>
      </c>
      <c r="I13" s="4"/>
      <c r="J13" s="3" t="s">
        <v>41</v>
      </c>
      <c r="K13" s="3" t="s">
        <v>94</v>
      </c>
      <c r="L13" s="3" t="s">
        <v>69</v>
      </c>
      <c r="M13" s="3" t="s">
        <v>95</v>
      </c>
      <c r="N13" s="3" t="s">
        <v>96</v>
      </c>
      <c r="O13" s="3" t="s">
        <v>68</v>
      </c>
      <c r="P13" s="3" t="s">
        <v>60</v>
      </c>
      <c r="Q13" s="3" t="s">
        <v>443</v>
      </c>
    </row>
    <row r="14" spans="1:17" x14ac:dyDescent="0.35">
      <c r="A14" s="3" t="s">
        <v>32</v>
      </c>
      <c r="B14" s="3" t="s">
        <v>162</v>
      </c>
      <c r="C14" s="20">
        <v>46160</v>
      </c>
      <c r="D14" s="20">
        <v>46188</v>
      </c>
      <c r="E14" s="3" t="s">
        <v>58</v>
      </c>
      <c r="F14" s="3" t="s">
        <v>52</v>
      </c>
      <c r="G14" s="5"/>
      <c r="H14" s="5">
        <f t="shared" si="0"/>
        <v>0</v>
      </c>
      <c r="I14" s="4"/>
      <c r="J14" s="3" t="s">
        <v>42</v>
      </c>
      <c r="K14" s="3" t="s">
        <v>97</v>
      </c>
      <c r="L14" s="3" t="s">
        <v>98</v>
      </c>
      <c r="M14" s="3" t="s">
        <v>99</v>
      </c>
      <c r="N14" s="3" t="s">
        <v>100</v>
      </c>
      <c r="O14" s="3" t="s">
        <v>69</v>
      </c>
      <c r="P14" s="3" t="s">
        <v>61</v>
      </c>
      <c r="Q14" s="3" t="s">
        <v>443</v>
      </c>
    </row>
    <row r="15" spans="1:17" x14ac:dyDescent="0.35">
      <c r="A15" s="3" t="s">
        <v>33</v>
      </c>
      <c r="B15" s="3" t="s">
        <v>162</v>
      </c>
      <c r="C15" s="20">
        <v>46160</v>
      </c>
      <c r="D15" s="20">
        <v>46188</v>
      </c>
      <c r="E15" s="3" t="s">
        <v>56</v>
      </c>
      <c r="F15" s="3" t="s">
        <v>53</v>
      </c>
      <c r="G15" s="5"/>
      <c r="H15" s="5">
        <f t="shared" si="0"/>
        <v>0</v>
      </c>
      <c r="I15" s="4"/>
      <c r="J15" s="3" t="s">
        <v>43</v>
      </c>
      <c r="K15" s="3" t="s">
        <v>101</v>
      </c>
      <c r="L15" s="3" t="s">
        <v>89</v>
      </c>
      <c r="M15" s="3" t="s">
        <v>102</v>
      </c>
      <c r="N15" s="3" t="s">
        <v>103</v>
      </c>
      <c r="O15" s="3" t="s">
        <v>66</v>
      </c>
      <c r="P15" s="3" t="s">
        <v>60</v>
      </c>
      <c r="Q15" s="3" t="s">
        <v>443</v>
      </c>
    </row>
    <row r="16" spans="1:17" x14ac:dyDescent="0.35">
      <c r="A16" s="3" t="s">
        <v>34</v>
      </c>
      <c r="B16" s="3" t="s">
        <v>162</v>
      </c>
      <c r="C16" s="20">
        <v>46160</v>
      </c>
      <c r="D16" s="20" t="s">
        <v>139</v>
      </c>
      <c r="E16" s="3" t="s">
        <v>56</v>
      </c>
      <c r="F16" s="3" t="s">
        <v>54</v>
      </c>
      <c r="G16" s="5"/>
      <c r="H16" s="5">
        <f t="shared" si="0"/>
        <v>0</v>
      </c>
      <c r="I16" s="4"/>
      <c r="J16" s="3" t="s">
        <v>44</v>
      </c>
      <c r="K16" s="3" t="s">
        <v>104</v>
      </c>
      <c r="L16" s="3" t="s">
        <v>105</v>
      </c>
      <c r="M16" s="3" t="s">
        <v>106</v>
      </c>
      <c r="N16" s="3" t="s">
        <v>107</v>
      </c>
      <c r="O16" s="3" t="s">
        <v>70</v>
      </c>
      <c r="P16" s="3" t="s">
        <v>60</v>
      </c>
      <c r="Q16" s="3" t="s">
        <v>443</v>
      </c>
    </row>
    <row r="17" spans="1:17" x14ac:dyDescent="0.35">
      <c r="A17" s="3" t="s">
        <v>108</v>
      </c>
      <c r="B17" s="3" t="s">
        <v>162</v>
      </c>
      <c r="C17" s="20">
        <v>46160</v>
      </c>
      <c r="D17" s="20" t="s">
        <v>139</v>
      </c>
      <c r="E17" s="3" t="s">
        <v>57</v>
      </c>
      <c r="F17" s="3" t="s">
        <v>109</v>
      </c>
      <c r="G17" s="5"/>
      <c r="H17" s="5">
        <f t="shared" si="0"/>
        <v>0</v>
      </c>
      <c r="I17" s="4"/>
      <c r="J17" s="3" t="s">
        <v>110</v>
      </c>
      <c r="K17" s="3" t="s">
        <v>130</v>
      </c>
      <c r="L17" s="3" t="s">
        <v>131</v>
      </c>
      <c r="M17" s="3" t="s">
        <v>132</v>
      </c>
      <c r="N17" s="3" t="s">
        <v>133</v>
      </c>
      <c r="O17" s="3" t="s">
        <v>115</v>
      </c>
      <c r="P17" s="3" t="s">
        <v>60</v>
      </c>
      <c r="Q17" s="3" t="s">
        <v>443</v>
      </c>
    </row>
    <row r="18" spans="1:17" x14ac:dyDescent="0.35">
      <c r="A18" s="3" t="s">
        <v>111</v>
      </c>
      <c r="B18" s="3" t="s">
        <v>446</v>
      </c>
      <c r="C18" s="3" t="s">
        <v>138</v>
      </c>
      <c r="D18" s="3" t="s">
        <v>138</v>
      </c>
      <c r="E18" s="3" t="s">
        <v>112</v>
      </c>
      <c r="F18" s="3" t="s">
        <v>113</v>
      </c>
      <c r="G18" s="5"/>
      <c r="H18" s="5">
        <f t="shared" si="0"/>
        <v>0</v>
      </c>
      <c r="I18" s="4"/>
      <c r="J18" s="3" t="s">
        <v>116</v>
      </c>
      <c r="K18" s="3"/>
      <c r="L18" s="3"/>
      <c r="M18" s="3"/>
      <c r="N18" s="3"/>
      <c r="O18" s="3" t="s">
        <v>114</v>
      </c>
      <c r="P18" s="3" t="s">
        <v>60</v>
      </c>
      <c r="Q18" s="3" t="s">
        <v>442</v>
      </c>
    </row>
    <row r="19" spans="1:17" x14ac:dyDescent="0.35">
      <c r="A19" s="3" t="s">
        <v>119</v>
      </c>
      <c r="B19" s="3" t="s">
        <v>162</v>
      </c>
      <c r="C19" s="20">
        <v>46160</v>
      </c>
      <c r="D19" s="20">
        <v>46188</v>
      </c>
      <c r="E19" s="3" t="s">
        <v>56</v>
      </c>
      <c r="F19" s="3" t="s">
        <v>117</v>
      </c>
      <c r="G19" s="5"/>
      <c r="H19" s="5">
        <f t="shared" si="0"/>
        <v>0</v>
      </c>
      <c r="I19" s="4"/>
      <c r="J19" s="3" t="s">
        <v>120</v>
      </c>
      <c r="K19" s="3" t="s">
        <v>135</v>
      </c>
      <c r="L19" s="3" t="s">
        <v>136</v>
      </c>
      <c r="M19" s="3" t="s">
        <v>134</v>
      </c>
      <c r="N19" s="3" t="s">
        <v>137</v>
      </c>
      <c r="O19" s="3" t="s">
        <v>118</v>
      </c>
      <c r="P19" s="3" t="s">
        <v>60</v>
      </c>
      <c r="Q19" s="3" t="s">
        <v>443</v>
      </c>
    </row>
    <row r="20" spans="1:17" x14ac:dyDescent="0.35">
      <c r="A20" s="3" t="s">
        <v>121</v>
      </c>
      <c r="B20" s="3" t="s">
        <v>446</v>
      </c>
      <c r="C20" s="3" t="s">
        <v>138</v>
      </c>
      <c r="D20" s="3" t="s">
        <v>138</v>
      </c>
      <c r="E20" s="3" t="s">
        <v>56</v>
      </c>
      <c r="F20" s="3" t="s">
        <v>122</v>
      </c>
      <c r="G20" s="5"/>
      <c r="H20" s="5">
        <f t="shared" si="0"/>
        <v>0</v>
      </c>
      <c r="I20" s="4"/>
      <c r="J20" s="3" t="s">
        <v>123</v>
      </c>
      <c r="K20" s="3"/>
      <c r="L20" s="3"/>
      <c r="M20" s="3"/>
      <c r="N20" s="3"/>
      <c r="O20" s="3" t="s">
        <v>124</v>
      </c>
      <c r="P20" s="3" t="s">
        <v>60</v>
      </c>
      <c r="Q20" s="3" t="s">
        <v>443</v>
      </c>
    </row>
    <row r="21" spans="1:17" x14ac:dyDescent="0.35">
      <c r="A21" s="3" t="s">
        <v>125</v>
      </c>
      <c r="B21" s="3" t="s">
        <v>446</v>
      </c>
      <c r="C21" s="3" t="s">
        <v>138</v>
      </c>
      <c r="D21" s="3" t="s">
        <v>138</v>
      </c>
      <c r="E21" s="3" t="s">
        <v>128</v>
      </c>
      <c r="F21" s="3" t="s">
        <v>127</v>
      </c>
      <c r="G21" s="5"/>
      <c r="H21" s="5">
        <f t="shared" si="0"/>
        <v>0</v>
      </c>
      <c r="I21" s="4"/>
      <c r="J21" s="3" t="s">
        <v>126</v>
      </c>
      <c r="K21" s="3"/>
      <c r="L21" s="3"/>
      <c r="M21" s="3"/>
      <c r="N21" s="3"/>
      <c r="O21" s="3" t="s">
        <v>129</v>
      </c>
      <c r="P21" s="3" t="s">
        <v>60</v>
      </c>
      <c r="Q21" s="3" t="s">
        <v>443</v>
      </c>
    </row>
    <row r="22" spans="1:17" x14ac:dyDescent="0.35">
      <c r="A22" s="3" t="s">
        <v>140</v>
      </c>
      <c r="B22" s="3" t="s">
        <v>162</v>
      </c>
      <c r="C22" s="20">
        <v>46163</v>
      </c>
      <c r="D22" s="20" t="s">
        <v>139</v>
      </c>
      <c r="E22" s="3" t="s">
        <v>57</v>
      </c>
      <c r="F22" s="3" t="s">
        <v>530</v>
      </c>
      <c r="G22" s="5"/>
      <c r="H22" s="5"/>
      <c r="I22" s="4"/>
      <c r="J22" s="3" t="s">
        <v>142</v>
      </c>
      <c r="K22" s="3" t="s">
        <v>143</v>
      </c>
      <c r="L22" s="3" t="s">
        <v>144</v>
      </c>
      <c r="M22" s="3" t="s">
        <v>145</v>
      </c>
      <c r="N22" s="3" t="s">
        <v>146</v>
      </c>
      <c r="O22" s="3" t="s">
        <v>147</v>
      </c>
      <c r="P22" s="3" t="s">
        <v>61</v>
      </c>
      <c r="Q22" s="3" t="s">
        <v>443</v>
      </c>
    </row>
    <row r="23" spans="1:17" x14ac:dyDescent="0.35">
      <c r="A23" s="3" t="s">
        <v>148</v>
      </c>
      <c r="B23" s="3" t="s">
        <v>449</v>
      </c>
      <c r="C23" s="20">
        <v>46163</v>
      </c>
      <c r="D23" s="20">
        <v>46191</v>
      </c>
      <c r="E23" s="3" t="s">
        <v>141</v>
      </c>
      <c r="F23" s="3" t="s">
        <v>149</v>
      </c>
      <c r="G23" s="5"/>
      <c r="H23" s="5">
        <f t="shared" si="0"/>
        <v>0</v>
      </c>
      <c r="I23" s="4"/>
      <c r="J23" s="3" t="s">
        <v>155</v>
      </c>
      <c r="K23" s="3" t="s">
        <v>187</v>
      </c>
      <c r="L23" s="3" t="s">
        <v>189</v>
      </c>
      <c r="M23" s="1" t="s">
        <v>190</v>
      </c>
      <c r="N23" s="3" t="s">
        <v>188</v>
      </c>
      <c r="O23" s="3" t="s">
        <v>150</v>
      </c>
      <c r="P23" s="3" t="s">
        <v>60</v>
      </c>
      <c r="Q23" s="3" t="s">
        <v>443</v>
      </c>
    </row>
    <row r="24" spans="1:17" x14ac:dyDescent="0.35">
      <c r="A24" s="3" t="s">
        <v>151</v>
      </c>
      <c r="B24" s="3" t="s">
        <v>449</v>
      </c>
      <c r="C24" s="3" t="s">
        <v>230</v>
      </c>
      <c r="D24" s="3" t="s">
        <v>230</v>
      </c>
      <c r="E24" s="3" t="s">
        <v>56</v>
      </c>
      <c r="F24" s="3" t="s">
        <v>152</v>
      </c>
      <c r="G24" s="5"/>
      <c r="H24" s="5">
        <f t="shared" si="0"/>
        <v>0</v>
      </c>
      <c r="I24" s="4"/>
      <c r="J24" s="3" t="s">
        <v>154</v>
      </c>
      <c r="K24" s="3" t="s">
        <v>192</v>
      </c>
      <c r="L24" s="3" t="s">
        <v>193</v>
      </c>
      <c r="M24" s="3" t="s">
        <v>191</v>
      </c>
      <c r="N24" s="3" t="s">
        <v>194</v>
      </c>
      <c r="O24" s="3" t="s">
        <v>153</v>
      </c>
      <c r="P24" s="3" t="s">
        <v>60</v>
      </c>
      <c r="Q24" s="3" t="s">
        <v>443</v>
      </c>
    </row>
    <row r="25" spans="1:17" x14ac:dyDescent="0.35">
      <c r="A25" s="3" t="s">
        <v>156</v>
      </c>
      <c r="B25" s="3" t="s">
        <v>157</v>
      </c>
      <c r="C25" s="20">
        <v>46163</v>
      </c>
      <c r="D25" s="20" t="s">
        <v>139</v>
      </c>
      <c r="E25" s="3" t="s">
        <v>56</v>
      </c>
      <c r="F25" s="3" t="s">
        <v>158</v>
      </c>
      <c r="G25" s="5"/>
      <c r="H25" s="5">
        <f t="shared" si="0"/>
        <v>0</v>
      </c>
      <c r="I25" s="4"/>
      <c r="J25" s="3" t="s">
        <v>160</v>
      </c>
      <c r="K25" s="3" t="s">
        <v>196</v>
      </c>
      <c r="L25" s="3" t="s">
        <v>197</v>
      </c>
      <c r="M25" s="3" t="s">
        <v>195</v>
      </c>
      <c r="N25" s="3" t="s">
        <v>198</v>
      </c>
      <c r="O25" s="3" t="s">
        <v>159</v>
      </c>
      <c r="P25" s="3" t="s">
        <v>61</v>
      </c>
      <c r="Q25" s="3" t="s">
        <v>443</v>
      </c>
    </row>
    <row r="26" spans="1:17" x14ac:dyDescent="0.35">
      <c r="A26" s="3" t="s">
        <v>161</v>
      </c>
      <c r="B26" s="3" t="s">
        <v>162</v>
      </c>
      <c r="C26" s="20">
        <v>46163</v>
      </c>
      <c r="D26" s="20">
        <v>46191</v>
      </c>
      <c r="E26" s="3" t="s">
        <v>141</v>
      </c>
      <c r="F26" s="3" t="s">
        <v>163</v>
      </c>
      <c r="G26" s="5"/>
      <c r="H26" s="5">
        <f t="shared" si="0"/>
        <v>0</v>
      </c>
      <c r="I26" s="4"/>
      <c r="J26" s="3" t="s">
        <v>164</v>
      </c>
      <c r="K26" s="3" t="s">
        <v>200</v>
      </c>
      <c r="L26" s="3" t="s">
        <v>131</v>
      </c>
      <c r="M26" s="3" t="s">
        <v>199</v>
      </c>
      <c r="N26" s="3" t="s">
        <v>201</v>
      </c>
      <c r="O26" s="3" t="s">
        <v>229</v>
      </c>
      <c r="P26" s="3" t="s">
        <v>60</v>
      </c>
      <c r="Q26" s="3" t="s">
        <v>443</v>
      </c>
    </row>
    <row r="27" spans="1:17" x14ac:dyDescent="0.35">
      <c r="A27" s="3" t="s">
        <v>165</v>
      </c>
      <c r="B27" s="3" t="s">
        <v>166</v>
      </c>
      <c r="C27" s="20">
        <v>46163</v>
      </c>
      <c r="D27" s="20">
        <v>46191</v>
      </c>
      <c r="E27" s="3" t="s">
        <v>56</v>
      </c>
      <c r="F27" s="3" t="s">
        <v>167</v>
      </c>
      <c r="G27" s="5"/>
      <c r="H27" s="5">
        <f t="shared" si="0"/>
        <v>0</v>
      </c>
      <c r="I27" s="4"/>
      <c r="J27" s="3" t="s">
        <v>168</v>
      </c>
      <c r="K27" s="3" t="s">
        <v>69</v>
      </c>
      <c r="L27" s="3" t="s">
        <v>69</v>
      </c>
      <c r="M27" s="3" t="s">
        <v>202</v>
      </c>
      <c r="N27" s="3" t="s">
        <v>203</v>
      </c>
      <c r="O27" s="3" t="s">
        <v>69</v>
      </c>
      <c r="P27" s="3" t="s">
        <v>61</v>
      </c>
      <c r="Q27" s="3" t="s">
        <v>443</v>
      </c>
    </row>
    <row r="28" spans="1:17" x14ac:dyDescent="0.35">
      <c r="A28" s="3" t="s">
        <v>169</v>
      </c>
      <c r="B28" s="3" t="s">
        <v>170</v>
      </c>
      <c r="C28" s="20">
        <v>46163</v>
      </c>
      <c r="D28" s="20">
        <v>46191</v>
      </c>
      <c r="E28" s="3" t="s">
        <v>141</v>
      </c>
      <c r="F28" s="3" t="s">
        <v>171</v>
      </c>
      <c r="G28" s="5"/>
      <c r="H28" s="5">
        <f t="shared" si="0"/>
        <v>0</v>
      </c>
      <c r="I28" s="4"/>
      <c r="J28" s="3" t="s">
        <v>172</v>
      </c>
      <c r="K28" s="3" t="s">
        <v>204</v>
      </c>
      <c r="L28" s="3" t="s">
        <v>205</v>
      </c>
      <c r="M28" s="3" t="s">
        <v>206</v>
      </c>
      <c r="N28" s="3" t="s">
        <v>207</v>
      </c>
      <c r="O28" s="3" t="s">
        <v>69</v>
      </c>
      <c r="P28" s="3" t="s">
        <v>61</v>
      </c>
      <c r="Q28" s="3" t="s">
        <v>443</v>
      </c>
    </row>
    <row r="29" spans="1:17" x14ac:dyDescent="0.35">
      <c r="A29" s="3" t="s">
        <v>174</v>
      </c>
      <c r="B29" s="3" t="s">
        <v>157</v>
      </c>
      <c r="C29" s="20">
        <v>46163</v>
      </c>
      <c r="D29" s="20" t="s">
        <v>139</v>
      </c>
      <c r="E29" s="3" t="s">
        <v>56</v>
      </c>
      <c r="F29" s="3" t="s">
        <v>173</v>
      </c>
      <c r="G29" s="5"/>
      <c r="H29" s="5">
        <f t="shared" si="0"/>
        <v>0</v>
      </c>
      <c r="I29" s="4"/>
      <c r="J29" s="3" t="s">
        <v>175</v>
      </c>
      <c r="K29" s="3" t="s">
        <v>209</v>
      </c>
      <c r="L29" s="3" t="s">
        <v>98</v>
      </c>
      <c r="M29" s="3" t="s">
        <v>208</v>
      </c>
      <c r="N29" s="3" t="s">
        <v>210</v>
      </c>
      <c r="O29" s="3" t="s">
        <v>69</v>
      </c>
      <c r="P29" s="3" t="s">
        <v>61</v>
      </c>
      <c r="Q29" s="3" t="s">
        <v>443</v>
      </c>
    </row>
    <row r="30" spans="1:17" x14ac:dyDescent="0.35">
      <c r="A30" s="3" t="s">
        <v>176</v>
      </c>
      <c r="B30" s="3" t="s">
        <v>177</v>
      </c>
      <c r="C30" s="20">
        <v>46163</v>
      </c>
      <c r="D30" s="20">
        <v>46191</v>
      </c>
      <c r="E30" s="3" t="s">
        <v>56</v>
      </c>
      <c r="F30" s="3" t="s">
        <v>178</v>
      </c>
      <c r="G30" s="5"/>
      <c r="H30" s="5">
        <f t="shared" si="0"/>
        <v>0</v>
      </c>
      <c r="I30" s="4"/>
      <c r="J30" s="3" t="s">
        <v>180</v>
      </c>
      <c r="K30" s="3" t="s">
        <v>211</v>
      </c>
      <c r="L30" s="3" t="s">
        <v>84</v>
      </c>
      <c r="M30" s="3" t="s">
        <v>212</v>
      </c>
      <c r="N30" s="3" t="s">
        <v>213</v>
      </c>
      <c r="O30" s="3" t="s">
        <v>179</v>
      </c>
      <c r="P30" s="3" t="s">
        <v>60</v>
      </c>
      <c r="Q30" s="3" t="s">
        <v>443</v>
      </c>
    </row>
    <row r="31" spans="1:17" x14ac:dyDescent="0.35">
      <c r="A31" s="3" t="s">
        <v>181</v>
      </c>
      <c r="B31" s="3" t="s">
        <v>166</v>
      </c>
      <c r="C31" s="20">
        <v>46163</v>
      </c>
      <c r="D31" s="20" t="s">
        <v>139</v>
      </c>
      <c r="E31" s="3" t="s">
        <v>56</v>
      </c>
      <c r="F31" s="3" t="s">
        <v>182</v>
      </c>
      <c r="G31" s="5"/>
      <c r="H31" s="5">
        <f t="shared" si="0"/>
        <v>0</v>
      </c>
      <c r="I31" s="4"/>
      <c r="J31" s="3" t="s">
        <v>183</v>
      </c>
      <c r="K31" s="3" t="s">
        <v>214</v>
      </c>
      <c r="L31" s="3" t="s">
        <v>215</v>
      </c>
      <c r="M31" s="3" t="s">
        <v>216</v>
      </c>
      <c r="N31" s="3" t="s">
        <v>217</v>
      </c>
      <c r="O31" s="3" t="s">
        <v>69</v>
      </c>
      <c r="P31" s="3" t="s">
        <v>61</v>
      </c>
      <c r="Q31" s="3" t="s">
        <v>443</v>
      </c>
    </row>
    <row r="32" spans="1:17" x14ac:dyDescent="0.35">
      <c r="A32" s="3" t="s">
        <v>184</v>
      </c>
      <c r="B32" s="3" t="s">
        <v>177</v>
      </c>
      <c r="C32" s="20">
        <v>46163</v>
      </c>
      <c r="D32" s="20">
        <v>46191</v>
      </c>
      <c r="E32" s="3" t="s">
        <v>141</v>
      </c>
      <c r="F32" s="3" t="s">
        <v>158</v>
      </c>
      <c r="G32" s="5"/>
      <c r="H32" s="5">
        <f t="shared" si="0"/>
        <v>0</v>
      </c>
      <c r="I32" s="4"/>
      <c r="J32" s="3" t="s">
        <v>185</v>
      </c>
      <c r="K32" s="3" t="s">
        <v>219</v>
      </c>
      <c r="L32" s="3" t="s">
        <v>220</v>
      </c>
      <c r="M32" s="3" t="s">
        <v>218</v>
      </c>
      <c r="N32" s="3" t="s">
        <v>221</v>
      </c>
      <c r="O32" s="3" t="s">
        <v>186</v>
      </c>
      <c r="P32" s="3" t="s">
        <v>61</v>
      </c>
      <c r="Q32" s="3" t="s">
        <v>443</v>
      </c>
    </row>
    <row r="33" spans="1:17" x14ac:dyDescent="0.35">
      <c r="A33" s="3" t="s">
        <v>222</v>
      </c>
      <c r="B33" s="3" t="s">
        <v>170</v>
      </c>
      <c r="C33" s="20">
        <v>46163</v>
      </c>
      <c r="D33" s="20">
        <v>46191</v>
      </c>
      <c r="E33" s="3" t="s">
        <v>56</v>
      </c>
      <c r="F33" s="3" t="s">
        <v>223</v>
      </c>
      <c r="G33" s="5"/>
      <c r="H33" s="5">
        <f t="shared" si="0"/>
        <v>0</v>
      </c>
      <c r="I33" s="4"/>
      <c r="J33" s="3" t="s">
        <v>224</v>
      </c>
      <c r="K33" s="3" t="s">
        <v>225</v>
      </c>
      <c r="L33" s="3" t="s">
        <v>226</v>
      </c>
      <c r="M33" s="3" t="s">
        <v>227</v>
      </c>
      <c r="N33" s="3" t="s">
        <v>228</v>
      </c>
      <c r="O33" s="3" t="s">
        <v>69</v>
      </c>
      <c r="P33" s="3" t="s">
        <v>61</v>
      </c>
      <c r="Q33" s="3" t="s">
        <v>443</v>
      </c>
    </row>
    <row r="34" spans="1:17" x14ac:dyDescent="0.35">
      <c r="A34" s="3" t="s">
        <v>231</v>
      </c>
      <c r="B34" s="3" t="s">
        <v>157</v>
      </c>
      <c r="C34" s="20">
        <v>46163</v>
      </c>
      <c r="D34" s="20">
        <v>46191</v>
      </c>
      <c r="E34" s="3" t="s">
        <v>56</v>
      </c>
      <c r="F34" s="3" t="s">
        <v>238</v>
      </c>
      <c r="G34" s="5"/>
      <c r="H34" s="5">
        <f t="shared" si="0"/>
        <v>0</v>
      </c>
      <c r="I34" s="4"/>
      <c r="J34" s="3" t="s">
        <v>232</v>
      </c>
      <c r="K34" s="3" t="s">
        <v>233</v>
      </c>
      <c r="L34" s="3" t="s">
        <v>234</v>
      </c>
      <c r="M34" s="3" t="s">
        <v>235</v>
      </c>
      <c r="N34" s="3" t="s">
        <v>236</v>
      </c>
      <c r="O34" s="3" t="s">
        <v>237</v>
      </c>
      <c r="P34" s="3" t="s">
        <v>61</v>
      </c>
      <c r="Q34" s="3" t="s">
        <v>442</v>
      </c>
    </row>
    <row r="35" spans="1:17" x14ac:dyDescent="0.35">
      <c r="A35" s="3" t="s">
        <v>239</v>
      </c>
      <c r="B35" s="3" t="s">
        <v>243</v>
      </c>
      <c r="C35" s="20">
        <v>46167</v>
      </c>
      <c r="D35" s="20">
        <v>46181</v>
      </c>
      <c r="E35" s="3" t="s">
        <v>56</v>
      </c>
      <c r="F35" s="3" t="s">
        <v>240</v>
      </c>
      <c r="G35" s="5"/>
      <c r="H35" s="5">
        <f t="shared" si="0"/>
        <v>0</v>
      </c>
      <c r="I35" s="4"/>
      <c r="J35" s="3" t="s">
        <v>241</v>
      </c>
      <c r="K35" s="3" t="s">
        <v>249</v>
      </c>
      <c r="L35" s="3" t="s">
        <v>250</v>
      </c>
      <c r="M35" s="3" t="s">
        <v>251</v>
      </c>
      <c r="N35" s="3" t="s">
        <v>252</v>
      </c>
      <c r="O35" s="3" t="s">
        <v>242</v>
      </c>
      <c r="P35" s="3" t="s">
        <v>60</v>
      </c>
      <c r="Q35" s="3" t="s">
        <v>442</v>
      </c>
    </row>
    <row r="36" spans="1:17" x14ac:dyDescent="0.35">
      <c r="A36" s="3" t="s">
        <v>244</v>
      </c>
      <c r="B36" s="3" t="s">
        <v>162</v>
      </c>
      <c r="C36" s="20">
        <v>46167</v>
      </c>
      <c r="D36" s="20">
        <v>46181</v>
      </c>
      <c r="E36" s="3" t="s">
        <v>253</v>
      </c>
      <c r="F36" s="3" t="s">
        <v>245</v>
      </c>
      <c r="G36" s="3"/>
      <c r="H36" s="5">
        <f t="shared" si="0"/>
        <v>0</v>
      </c>
      <c r="I36" s="3"/>
      <c r="J36" s="3" t="s">
        <v>247</v>
      </c>
      <c r="K36" s="3" t="s">
        <v>255</v>
      </c>
      <c r="L36" s="3" t="s">
        <v>74</v>
      </c>
      <c r="M36" s="3" t="s">
        <v>254</v>
      </c>
      <c r="N36" s="3" t="s">
        <v>256</v>
      </c>
      <c r="O36" s="1" t="s">
        <v>246</v>
      </c>
      <c r="P36" s="1" t="s">
        <v>60</v>
      </c>
      <c r="Q36" s="1" t="s">
        <v>443</v>
      </c>
    </row>
    <row r="37" spans="1:17" x14ac:dyDescent="0.35">
      <c r="A37" s="3" t="s">
        <v>248</v>
      </c>
      <c r="B37" s="3" t="s">
        <v>162</v>
      </c>
      <c r="C37" s="20">
        <v>46168</v>
      </c>
      <c r="D37" s="20">
        <v>46182</v>
      </c>
      <c r="E37" s="3" t="s">
        <v>253</v>
      </c>
      <c r="F37" s="3" t="s">
        <v>261</v>
      </c>
      <c r="G37" s="5"/>
      <c r="H37" s="5">
        <f t="shared" si="0"/>
        <v>0</v>
      </c>
      <c r="I37" s="4"/>
      <c r="J37" s="3" t="s">
        <v>260</v>
      </c>
      <c r="K37" s="3" t="s">
        <v>258</v>
      </c>
      <c r="L37" s="3" t="s">
        <v>234</v>
      </c>
      <c r="M37" s="3" t="s">
        <v>257</v>
      </c>
      <c r="N37" s="3" t="s">
        <v>259</v>
      </c>
      <c r="O37" s="3" t="s">
        <v>263</v>
      </c>
      <c r="P37" s="3" t="s">
        <v>61</v>
      </c>
      <c r="Q37" s="3" t="s">
        <v>443</v>
      </c>
    </row>
    <row r="38" spans="1:17" x14ac:dyDescent="0.35">
      <c r="A38" s="3" t="s">
        <v>262</v>
      </c>
      <c r="B38" s="3" t="s">
        <v>162</v>
      </c>
      <c r="C38" s="20">
        <v>46168</v>
      </c>
      <c r="D38" s="20">
        <v>46182</v>
      </c>
      <c r="E38" s="3" t="s">
        <v>141</v>
      </c>
      <c r="F38" s="3" t="s">
        <v>261</v>
      </c>
      <c r="G38" s="5"/>
      <c r="H38" s="5">
        <f t="shared" si="0"/>
        <v>0</v>
      </c>
      <c r="I38" s="4"/>
      <c r="J38" s="3" t="s">
        <v>264</v>
      </c>
      <c r="K38" s="3" t="s">
        <v>266</v>
      </c>
      <c r="L38" s="3" t="s">
        <v>105</v>
      </c>
      <c r="M38" s="3" t="s">
        <v>265</v>
      </c>
      <c r="N38" s="3" t="s">
        <v>267</v>
      </c>
      <c r="O38" s="3" t="s">
        <v>186</v>
      </c>
      <c r="P38" s="3" t="s">
        <v>61</v>
      </c>
      <c r="Q38" s="3" t="s">
        <v>443</v>
      </c>
    </row>
    <row r="39" spans="1:17" x14ac:dyDescent="0.35">
      <c r="A39" s="3" t="s">
        <v>272</v>
      </c>
      <c r="B39" s="3" t="s">
        <v>268</v>
      </c>
      <c r="C39" s="20">
        <v>46168</v>
      </c>
      <c r="D39" s="20">
        <v>46182</v>
      </c>
      <c r="E39" s="3" t="s">
        <v>141</v>
      </c>
      <c r="F39" s="3" t="s">
        <v>270</v>
      </c>
      <c r="G39" s="5"/>
      <c r="H39" s="5">
        <f t="shared" si="0"/>
        <v>0</v>
      </c>
      <c r="I39" s="4"/>
      <c r="J39" s="3" t="s">
        <v>273</v>
      </c>
      <c r="K39" s="3" t="s">
        <v>305</v>
      </c>
      <c r="L39" s="3" t="s">
        <v>74</v>
      </c>
      <c r="M39" s="3" t="s">
        <v>304</v>
      </c>
      <c r="N39" s="3" t="s">
        <v>306</v>
      </c>
      <c r="O39" s="3" t="s">
        <v>271</v>
      </c>
      <c r="P39" s="3" t="s">
        <v>61</v>
      </c>
      <c r="Q39" s="3" t="s">
        <v>443</v>
      </c>
    </row>
    <row r="40" spans="1:17" x14ac:dyDescent="0.35">
      <c r="A40" s="3" t="s">
        <v>274</v>
      </c>
      <c r="B40" s="3" t="s">
        <v>162</v>
      </c>
      <c r="C40" s="20">
        <v>46168</v>
      </c>
      <c r="D40" s="20">
        <v>46182</v>
      </c>
      <c r="E40" s="3" t="s">
        <v>253</v>
      </c>
      <c r="F40" s="3" t="s">
        <v>269</v>
      </c>
      <c r="G40" s="5"/>
      <c r="H40" s="5">
        <f t="shared" si="0"/>
        <v>0</v>
      </c>
      <c r="I40" s="4"/>
      <c r="J40" s="3" t="s">
        <v>275</v>
      </c>
      <c r="K40" s="3" t="s">
        <v>308</v>
      </c>
      <c r="L40" s="3" t="s">
        <v>234</v>
      </c>
      <c r="M40" s="3" t="s">
        <v>307</v>
      </c>
      <c r="N40" s="3" t="s">
        <v>309</v>
      </c>
      <c r="O40" s="3" t="s">
        <v>186</v>
      </c>
      <c r="P40" s="3" t="s">
        <v>61</v>
      </c>
      <c r="Q40" s="3" t="s">
        <v>443</v>
      </c>
    </row>
    <row r="41" spans="1:17" x14ac:dyDescent="0.35">
      <c r="A41" s="3" t="s">
        <v>276</v>
      </c>
      <c r="B41" s="3" t="s">
        <v>277</v>
      </c>
      <c r="C41" s="20">
        <v>46168</v>
      </c>
      <c r="D41" s="20">
        <v>46182</v>
      </c>
      <c r="E41" s="3" t="s">
        <v>141</v>
      </c>
      <c r="F41" s="3" t="s">
        <v>278</v>
      </c>
      <c r="G41" s="5"/>
      <c r="H41" s="5">
        <f t="shared" si="0"/>
        <v>0</v>
      </c>
      <c r="I41" s="4"/>
      <c r="J41" s="3" t="s">
        <v>279</v>
      </c>
      <c r="K41" s="3" t="s">
        <v>310</v>
      </c>
      <c r="L41" s="3" t="s">
        <v>74</v>
      </c>
      <c r="M41" s="3" t="s">
        <v>311</v>
      </c>
      <c r="N41" s="3" t="s">
        <v>312</v>
      </c>
      <c r="O41" s="3" t="s">
        <v>69</v>
      </c>
      <c r="P41" s="3" t="s">
        <v>61</v>
      </c>
      <c r="Q41" s="3" t="s">
        <v>443</v>
      </c>
    </row>
    <row r="42" spans="1:17" x14ac:dyDescent="0.35">
      <c r="A42" s="3" t="s">
        <v>280</v>
      </c>
      <c r="B42" s="3" t="s">
        <v>277</v>
      </c>
      <c r="C42" s="20">
        <v>46168</v>
      </c>
      <c r="D42" s="20">
        <v>46182</v>
      </c>
      <c r="E42" s="3" t="s">
        <v>253</v>
      </c>
      <c r="F42" s="3" t="s">
        <v>281</v>
      </c>
      <c r="G42" s="5"/>
      <c r="H42" s="5">
        <f t="shared" si="0"/>
        <v>0</v>
      </c>
      <c r="I42" s="4"/>
      <c r="J42" s="3" t="s">
        <v>282</v>
      </c>
      <c r="K42" s="3" t="s">
        <v>314</v>
      </c>
      <c r="L42" s="3" t="s">
        <v>74</v>
      </c>
      <c r="M42" s="3" t="s">
        <v>313</v>
      </c>
      <c r="N42" s="3" t="s">
        <v>315</v>
      </c>
      <c r="O42" s="3" t="s">
        <v>283</v>
      </c>
      <c r="P42" s="3" t="s">
        <v>61</v>
      </c>
      <c r="Q42" s="3" t="s">
        <v>443</v>
      </c>
    </row>
    <row r="43" spans="1:17" x14ac:dyDescent="0.35">
      <c r="A43" s="3" t="s">
        <v>284</v>
      </c>
      <c r="B43" s="3" t="s">
        <v>285</v>
      </c>
      <c r="C43" s="20">
        <v>46168</v>
      </c>
      <c r="D43" s="20">
        <v>46182</v>
      </c>
      <c r="E43" s="3" t="s">
        <v>56</v>
      </c>
      <c r="F43" s="3" t="s">
        <v>281</v>
      </c>
      <c r="G43" s="5"/>
      <c r="H43" s="5">
        <f t="shared" si="0"/>
        <v>0</v>
      </c>
      <c r="I43" s="4"/>
      <c r="J43" s="3" t="s">
        <v>286</v>
      </c>
      <c r="K43" s="3" t="s">
        <v>318</v>
      </c>
      <c r="L43" s="3" t="s">
        <v>234</v>
      </c>
      <c r="M43" s="3" t="s">
        <v>317</v>
      </c>
      <c r="N43" s="3" t="s">
        <v>319</v>
      </c>
      <c r="O43" s="3" t="s">
        <v>69</v>
      </c>
      <c r="P43" s="3" t="s">
        <v>61</v>
      </c>
      <c r="Q43" s="3" t="s">
        <v>443</v>
      </c>
    </row>
    <row r="44" spans="1:17" x14ac:dyDescent="0.35">
      <c r="A44" s="3" t="s">
        <v>287</v>
      </c>
      <c r="B44" s="3" t="s">
        <v>162</v>
      </c>
      <c r="C44" s="20">
        <v>46168</v>
      </c>
      <c r="D44" s="20">
        <v>46182</v>
      </c>
      <c r="E44" s="3" t="s">
        <v>56</v>
      </c>
      <c r="F44" s="3" t="s">
        <v>288</v>
      </c>
      <c r="G44" s="5"/>
      <c r="H44" s="5">
        <f t="shared" si="0"/>
        <v>0</v>
      </c>
      <c r="I44" s="4"/>
      <c r="J44" s="3" t="s">
        <v>293</v>
      </c>
      <c r="K44" s="3" t="s">
        <v>290</v>
      </c>
      <c r="L44" s="3" t="s">
        <v>291</v>
      </c>
      <c r="M44" s="3" t="s">
        <v>289</v>
      </c>
      <c r="N44" s="3" t="s">
        <v>292</v>
      </c>
      <c r="O44" s="3" t="s">
        <v>69</v>
      </c>
      <c r="P44" s="3" t="s">
        <v>61</v>
      </c>
      <c r="Q44" s="3" t="s">
        <v>443</v>
      </c>
    </row>
    <row r="45" spans="1:17" x14ac:dyDescent="0.35">
      <c r="A45" s="3" t="s">
        <v>294</v>
      </c>
      <c r="B45" s="3" t="s">
        <v>162</v>
      </c>
      <c r="C45" s="20">
        <v>46168</v>
      </c>
      <c r="D45" s="20">
        <v>46182</v>
      </c>
      <c r="E45" s="3" t="s">
        <v>56</v>
      </c>
      <c r="F45" s="3" t="s">
        <v>295</v>
      </c>
      <c r="G45" s="5"/>
      <c r="H45" s="5">
        <f t="shared" si="0"/>
        <v>0</v>
      </c>
      <c r="I45" s="4"/>
      <c r="J45" s="3" t="s">
        <v>296</v>
      </c>
      <c r="K45" s="3" t="s">
        <v>321</v>
      </c>
      <c r="L45" s="3" t="s">
        <v>322</v>
      </c>
      <c r="M45" s="3" t="s">
        <v>320</v>
      </c>
      <c r="N45" s="3" t="s">
        <v>323</v>
      </c>
      <c r="O45" s="3" t="s">
        <v>69</v>
      </c>
      <c r="P45" s="3" t="s">
        <v>61</v>
      </c>
      <c r="Q45" s="3" t="s">
        <v>443</v>
      </c>
    </row>
    <row r="46" spans="1:17" x14ac:dyDescent="0.35">
      <c r="A46" s="3" t="s">
        <v>297</v>
      </c>
      <c r="B46" s="3" t="s">
        <v>162</v>
      </c>
      <c r="C46" s="20">
        <v>46168</v>
      </c>
      <c r="D46" s="20" t="s">
        <v>139</v>
      </c>
      <c r="E46" s="3" t="s">
        <v>56</v>
      </c>
      <c r="F46" s="3" t="s">
        <v>302</v>
      </c>
      <c r="G46" s="5"/>
      <c r="H46" s="5">
        <f t="shared" si="0"/>
        <v>0</v>
      </c>
      <c r="I46" s="4"/>
      <c r="J46" s="3" t="s">
        <v>303</v>
      </c>
      <c r="K46" s="3" t="s">
        <v>299</v>
      </c>
      <c r="L46" s="3" t="s">
        <v>234</v>
      </c>
      <c r="M46" s="3" t="s">
        <v>300</v>
      </c>
      <c r="N46" s="3" t="s">
        <v>301</v>
      </c>
      <c r="O46" s="3" t="s">
        <v>298</v>
      </c>
      <c r="P46" s="3" t="s">
        <v>60</v>
      </c>
      <c r="Q46" s="3" t="s">
        <v>442</v>
      </c>
    </row>
    <row r="47" spans="1:17" x14ac:dyDescent="0.35">
      <c r="A47" s="3" t="s">
        <v>316</v>
      </c>
      <c r="B47" s="3" t="s">
        <v>162</v>
      </c>
      <c r="C47" s="20">
        <v>46168</v>
      </c>
      <c r="D47" s="20">
        <v>46182</v>
      </c>
      <c r="E47" s="3" t="s">
        <v>56</v>
      </c>
      <c r="F47" s="3" t="s">
        <v>328</v>
      </c>
      <c r="G47" s="5"/>
      <c r="H47" s="5">
        <f t="shared" si="0"/>
        <v>0</v>
      </c>
      <c r="I47" s="4"/>
      <c r="J47" s="3" t="s">
        <v>329</v>
      </c>
      <c r="K47" s="3" t="s">
        <v>325</v>
      </c>
      <c r="L47" s="3" t="s">
        <v>326</v>
      </c>
      <c r="M47" s="3" t="s">
        <v>324</v>
      </c>
      <c r="N47" s="3" t="s">
        <v>327</v>
      </c>
      <c r="O47" s="3" t="s">
        <v>330</v>
      </c>
      <c r="P47" s="3" t="s">
        <v>61</v>
      </c>
      <c r="Q47" s="3" t="s">
        <v>442</v>
      </c>
    </row>
    <row r="48" spans="1:17" x14ac:dyDescent="0.35">
      <c r="A48" s="3" t="s">
        <v>331</v>
      </c>
      <c r="B48" s="3" t="s">
        <v>162</v>
      </c>
      <c r="C48" s="20">
        <v>46169</v>
      </c>
      <c r="D48" s="20">
        <v>46183</v>
      </c>
      <c r="E48" s="3" t="s">
        <v>253</v>
      </c>
      <c r="F48" s="3" t="s">
        <v>328</v>
      </c>
      <c r="G48" s="5"/>
      <c r="H48" s="5">
        <f t="shared" si="0"/>
        <v>0</v>
      </c>
      <c r="I48" s="4"/>
      <c r="J48" s="3" t="s">
        <v>333</v>
      </c>
      <c r="K48" s="3" t="s">
        <v>364</v>
      </c>
      <c r="L48" s="3" t="s">
        <v>89</v>
      </c>
      <c r="M48" s="3" t="s">
        <v>363</v>
      </c>
      <c r="N48" s="3" t="s">
        <v>365</v>
      </c>
      <c r="O48" s="3" t="s">
        <v>332</v>
      </c>
      <c r="P48" s="3" t="s">
        <v>60</v>
      </c>
      <c r="Q48" s="3" t="s">
        <v>443</v>
      </c>
    </row>
    <row r="49" spans="1:17" x14ac:dyDescent="0.35">
      <c r="A49" s="3" t="s">
        <v>334</v>
      </c>
      <c r="B49" s="3" t="s">
        <v>162</v>
      </c>
      <c r="C49" s="20">
        <v>46169</v>
      </c>
      <c r="D49" s="20">
        <v>46183</v>
      </c>
      <c r="E49" s="3" t="s">
        <v>56</v>
      </c>
      <c r="F49" s="3" t="s">
        <v>328</v>
      </c>
      <c r="G49" s="5"/>
      <c r="H49" s="5">
        <f t="shared" si="0"/>
        <v>0</v>
      </c>
      <c r="I49" s="4"/>
      <c r="J49" s="3" t="s">
        <v>336</v>
      </c>
      <c r="K49" s="3" t="s">
        <v>366</v>
      </c>
      <c r="L49" s="3" t="s">
        <v>367</v>
      </c>
      <c r="M49" s="3" t="s">
        <v>368</v>
      </c>
      <c r="N49" s="3" t="s">
        <v>369</v>
      </c>
      <c r="O49" s="3" t="s">
        <v>335</v>
      </c>
      <c r="P49" s="3" t="s">
        <v>61</v>
      </c>
      <c r="Q49" s="3" t="s">
        <v>442</v>
      </c>
    </row>
    <row r="50" spans="1:17" x14ac:dyDescent="0.35">
      <c r="A50" s="3" t="s">
        <v>337</v>
      </c>
      <c r="B50" s="3" t="s">
        <v>162</v>
      </c>
      <c r="C50" s="20">
        <v>46169</v>
      </c>
      <c r="D50" s="20">
        <v>46183</v>
      </c>
      <c r="E50" s="3" t="s">
        <v>56</v>
      </c>
      <c r="F50" s="3" t="s">
        <v>328</v>
      </c>
      <c r="G50" s="5"/>
      <c r="H50" s="5">
        <f t="shared" si="0"/>
        <v>0</v>
      </c>
      <c r="I50" s="4"/>
      <c r="J50" s="3" t="s">
        <v>343</v>
      </c>
      <c r="K50" s="3" t="s">
        <v>372</v>
      </c>
      <c r="L50" s="3" t="s">
        <v>371</v>
      </c>
      <c r="M50" s="3" t="s">
        <v>370</v>
      </c>
      <c r="N50" s="3" t="s">
        <v>373</v>
      </c>
      <c r="O50" s="3" t="s">
        <v>332</v>
      </c>
      <c r="P50" s="3" t="s">
        <v>60</v>
      </c>
      <c r="Q50" s="3" t="s">
        <v>443</v>
      </c>
    </row>
    <row r="51" spans="1:17" x14ac:dyDescent="0.35">
      <c r="A51" s="3" t="s">
        <v>338</v>
      </c>
      <c r="B51" s="3" t="s">
        <v>340</v>
      </c>
      <c r="C51" s="20">
        <v>46169</v>
      </c>
      <c r="D51" s="20">
        <v>46183</v>
      </c>
      <c r="E51" s="3" t="s">
        <v>56</v>
      </c>
      <c r="F51" s="3" t="s">
        <v>328</v>
      </c>
      <c r="G51" s="5"/>
      <c r="H51" s="5">
        <f t="shared" si="0"/>
        <v>0</v>
      </c>
      <c r="I51" s="4"/>
      <c r="J51" s="3" t="s">
        <v>344</v>
      </c>
      <c r="K51" s="3" t="s">
        <v>375</v>
      </c>
      <c r="L51" s="3" t="s">
        <v>105</v>
      </c>
      <c r="M51" s="3" t="s">
        <v>374</v>
      </c>
      <c r="N51" s="3" t="s">
        <v>376</v>
      </c>
      <c r="O51" s="3" t="s">
        <v>339</v>
      </c>
      <c r="P51" s="3" t="s">
        <v>61</v>
      </c>
      <c r="Q51" s="3" t="s">
        <v>443</v>
      </c>
    </row>
    <row r="52" spans="1:17" x14ac:dyDescent="0.35">
      <c r="A52" s="3" t="s">
        <v>341</v>
      </c>
      <c r="B52" s="3" t="s">
        <v>162</v>
      </c>
      <c r="C52" s="20">
        <v>46169</v>
      </c>
      <c r="D52" s="20">
        <v>46183</v>
      </c>
      <c r="E52" s="3" t="s">
        <v>56</v>
      </c>
      <c r="F52" s="3" t="s">
        <v>328</v>
      </c>
      <c r="G52" s="5"/>
      <c r="H52" s="5">
        <f t="shared" si="0"/>
        <v>0</v>
      </c>
      <c r="I52" s="4"/>
      <c r="J52" s="3" t="s">
        <v>345</v>
      </c>
      <c r="K52" s="3" t="s">
        <v>378</v>
      </c>
      <c r="L52" s="3" t="s">
        <v>131</v>
      </c>
      <c r="M52" s="3" t="s">
        <v>377</v>
      </c>
      <c r="N52" s="3" t="s">
        <v>379</v>
      </c>
      <c r="O52" s="3" t="s">
        <v>342</v>
      </c>
      <c r="P52" s="3" t="s">
        <v>61</v>
      </c>
      <c r="Q52" s="3" t="s">
        <v>443</v>
      </c>
    </row>
    <row r="53" spans="1:17" x14ac:dyDescent="0.35">
      <c r="A53" s="3" t="s">
        <v>346</v>
      </c>
      <c r="B53" s="3" t="s">
        <v>162</v>
      </c>
      <c r="C53" s="20">
        <v>46169</v>
      </c>
      <c r="D53" s="20" t="s">
        <v>139</v>
      </c>
      <c r="E53" s="3" t="s">
        <v>56</v>
      </c>
      <c r="F53" s="3" t="s">
        <v>347</v>
      </c>
      <c r="G53" s="5"/>
      <c r="H53" s="5">
        <f t="shared" si="0"/>
        <v>0</v>
      </c>
      <c r="I53" s="4"/>
      <c r="J53" s="3" t="s">
        <v>349</v>
      </c>
      <c r="K53" s="3" t="s">
        <v>381</v>
      </c>
      <c r="L53" s="3" t="s">
        <v>98</v>
      </c>
      <c r="M53" s="3" t="s">
        <v>380</v>
      </c>
      <c r="N53" s="3" t="s">
        <v>382</v>
      </c>
      <c r="O53" s="3" t="s">
        <v>348</v>
      </c>
      <c r="P53" s="3" t="s">
        <v>61</v>
      </c>
      <c r="Q53" s="3" t="s">
        <v>443</v>
      </c>
    </row>
    <row r="54" spans="1:17" x14ac:dyDescent="0.35">
      <c r="A54" s="3" t="s">
        <v>350</v>
      </c>
      <c r="B54" s="3" t="s">
        <v>170</v>
      </c>
      <c r="C54" s="20">
        <v>46169</v>
      </c>
      <c r="D54" s="20">
        <v>46183</v>
      </c>
      <c r="E54" s="3" t="s">
        <v>56</v>
      </c>
      <c r="F54" s="3" t="s">
        <v>352</v>
      </c>
      <c r="G54" s="5"/>
      <c r="H54" s="5">
        <f t="shared" si="0"/>
        <v>0</v>
      </c>
      <c r="I54" s="4"/>
      <c r="J54" s="3" t="s">
        <v>353</v>
      </c>
      <c r="K54" s="3" t="s">
        <v>385</v>
      </c>
      <c r="L54" s="3" t="s">
        <v>136</v>
      </c>
      <c r="M54" s="3" t="s">
        <v>383</v>
      </c>
      <c r="N54" s="3" t="s">
        <v>384</v>
      </c>
      <c r="O54" s="3" t="s">
        <v>351</v>
      </c>
      <c r="P54" s="3" t="s">
        <v>60</v>
      </c>
      <c r="Q54" s="3" t="s">
        <v>443</v>
      </c>
    </row>
    <row r="55" spans="1:17" x14ac:dyDescent="0.35">
      <c r="A55" s="3" t="s">
        <v>354</v>
      </c>
      <c r="B55" s="3" t="s">
        <v>357</v>
      </c>
      <c r="C55" s="20">
        <v>46169</v>
      </c>
      <c r="D55" s="20">
        <v>46183</v>
      </c>
      <c r="E55" s="3" t="s">
        <v>56</v>
      </c>
      <c r="F55" s="3" t="s">
        <v>355</v>
      </c>
      <c r="G55" s="5"/>
      <c r="H55" s="5">
        <f t="shared" si="0"/>
        <v>0</v>
      </c>
      <c r="I55" s="4"/>
      <c r="J55" s="3" t="s">
        <v>362</v>
      </c>
      <c r="K55" s="3" t="s">
        <v>386</v>
      </c>
      <c r="L55" s="3" t="s">
        <v>74</v>
      </c>
      <c r="M55" s="3" t="s">
        <v>387</v>
      </c>
      <c r="N55" s="3" t="s">
        <v>388</v>
      </c>
      <c r="O55" s="3" t="s">
        <v>356</v>
      </c>
      <c r="P55" s="3" t="s">
        <v>60</v>
      </c>
      <c r="Q55" s="3" t="s">
        <v>442</v>
      </c>
    </row>
    <row r="56" spans="1:17" x14ac:dyDescent="0.35">
      <c r="A56" s="3" t="s">
        <v>358</v>
      </c>
      <c r="B56" s="3" t="s">
        <v>389</v>
      </c>
      <c r="C56" s="20">
        <v>46169</v>
      </c>
      <c r="D56" s="20">
        <v>46183</v>
      </c>
      <c r="E56" s="3" t="s">
        <v>56</v>
      </c>
      <c r="F56" s="3" t="s">
        <v>359</v>
      </c>
      <c r="G56" s="5"/>
      <c r="H56" s="5">
        <f t="shared" si="0"/>
        <v>0</v>
      </c>
      <c r="I56" s="4"/>
      <c r="J56" s="3" t="s">
        <v>361</v>
      </c>
      <c r="K56" s="3" t="s">
        <v>391</v>
      </c>
      <c r="L56" s="3" t="s">
        <v>392</v>
      </c>
      <c r="M56" s="3" t="s">
        <v>390</v>
      </c>
      <c r="N56" s="3" t="s">
        <v>393</v>
      </c>
      <c r="O56" s="3" t="s">
        <v>360</v>
      </c>
      <c r="P56" s="3" t="s">
        <v>60</v>
      </c>
      <c r="Q56" s="3" t="s">
        <v>443</v>
      </c>
    </row>
    <row r="57" spans="1:17" x14ac:dyDescent="0.35">
      <c r="A57" s="3" t="s">
        <v>394</v>
      </c>
      <c r="B57" s="3" t="s">
        <v>340</v>
      </c>
      <c r="C57" s="20">
        <v>46170</v>
      </c>
      <c r="D57" s="20">
        <v>46184</v>
      </c>
      <c r="E57" s="3" t="s">
        <v>56</v>
      </c>
      <c r="F57" s="3" t="s">
        <v>158</v>
      </c>
      <c r="G57" s="5"/>
      <c r="H57" s="5">
        <f t="shared" si="0"/>
        <v>0</v>
      </c>
      <c r="I57" s="4"/>
      <c r="J57" s="3" t="s">
        <v>395</v>
      </c>
      <c r="K57" s="3" t="s">
        <v>417</v>
      </c>
      <c r="L57" s="3" t="s">
        <v>98</v>
      </c>
      <c r="M57" s="3" t="s">
        <v>413</v>
      </c>
      <c r="N57" s="3" t="s">
        <v>414</v>
      </c>
      <c r="O57" s="3" t="s">
        <v>396</v>
      </c>
      <c r="P57" s="3" t="s">
        <v>61</v>
      </c>
      <c r="Q57" s="3" t="s">
        <v>443</v>
      </c>
    </row>
    <row r="58" spans="1:17" x14ac:dyDescent="0.35">
      <c r="A58" s="3" t="s">
        <v>397</v>
      </c>
      <c r="B58" s="3" t="s">
        <v>162</v>
      </c>
      <c r="C58" s="20">
        <v>46170</v>
      </c>
      <c r="D58" s="20">
        <v>46184</v>
      </c>
      <c r="E58" s="3" t="s">
        <v>253</v>
      </c>
      <c r="F58" s="3" t="s">
        <v>398</v>
      </c>
      <c r="G58" s="5"/>
      <c r="H58" s="5">
        <f t="shared" si="0"/>
        <v>0</v>
      </c>
      <c r="I58" s="4"/>
      <c r="J58" s="3" t="s">
        <v>399</v>
      </c>
      <c r="K58" s="3" t="s">
        <v>416</v>
      </c>
      <c r="L58" s="3" t="s">
        <v>418</v>
      </c>
      <c r="M58" s="3" t="s">
        <v>415</v>
      </c>
      <c r="N58" s="3" t="s">
        <v>419</v>
      </c>
      <c r="O58" s="3" t="s">
        <v>351</v>
      </c>
      <c r="P58" s="3" t="s">
        <v>60</v>
      </c>
      <c r="Q58" s="3" t="s">
        <v>443</v>
      </c>
    </row>
    <row r="59" spans="1:17" x14ac:dyDescent="0.35">
      <c r="A59" s="3" t="s">
        <v>400</v>
      </c>
      <c r="B59" s="3" t="s">
        <v>166</v>
      </c>
      <c r="C59" s="20">
        <v>46170</v>
      </c>
      <c r="D59" s="20">
        <v>46184</v>
      </c>
      <c r="E59" s="3" t="s">
        <v>141</v>
      </c>
      <c r="F59" s="3" t="s">
        <v>158</v>
      </c>
      <c r="G59" s="5"/>
      <c r="H59" s="5">
        <f t="shared" si="0"/>
        <v>0</v>
      </c>
      <c r="I59" s="4"/>
      <c r="J59" s="3" t="s">
        <v>401</v>
      </c>
      <c r="K59" s="3" t="s">
        <v>421</v>
      </c>
      <c r="L59" s="3" t="s">
        <v>131</v>
      </c>
      <c r="M59" s="3" t="s">
        <v>420</v>
      </c>
      <c r="N59" s="3" t="s">
        <v>422</v>
      </c>
      <c r="O59" s="3" t="s">
        <v>402</v>
      </c>
      <c r="P59" s="3" t="s">
        <v>60</v>
      </c>
      <c r="Q59" s="3" t="s">
        <v>443</v>
      </c>
    </row>
    <row r="60" spans="1:17" x14ac:dyDescent="0.35">
      <c r="A60" s="3" t="s">
        <v>403</v>
      </c>
      <c r="B60" s="3" t="s">
        <v>404</v>
      </c>
      <c r="C60" s="20">
        <v>46170</v>
      </c>
      <c r="D60" s="20" t="s">
        <v>139</v>
      </c>
      <c r="E60" s="3" t="s">
        <v>56</v>
      </c>
      <c r="F60" s="3" t="s">
        <v>158</v>
      </c>
      <c r="G60" s="5"/>
      <c r="H60" s="5">
        <f t="shared" si="0"/>
        <v>0</v>
      </c>
      <c r="I60" s="4"/>
      <c r="J60" s="3" t="s">
        <v>405</v>
      </c>
      <c r="K60" s="3" t="s">
        <v>424</v>
      </c>
      <c r="L60" s="3" t="s">
        <v>425</v>
      </c>
      <c r="M60" s="3" t="s">
        <v>423</v>
      </c>
      <c r="N60" s="3" t="s">
        <v>426</v>
      </c>
      <c r="O60" s="3" t="s">
        <v>69</v>
      </c>
      <c r="P60" s="3" t="s">
        <v>61</v>
      </c>
      <c r="Q60" s="3" t="s">
        <v>443</v>
      </c>
    </row>
    <row r="61" spans="1:17" x14ac:dyDescent="0.35">
      <c r="A61" s="3" t="s">
        <v>406</v>
      </c>
      <c r="B61" s="3" t="s">
        <v>162</v>
      </c>
      <c r="C61" s="20">
        <v>46170</v>
      </c>
      <c r="D61" s="20">
        <v>46184</v>
      </c>
      <c r="E61" s="3" t="s">
        <v>56</v>
      </c>
      <c r="F61" s="3" t="s">
        <v>158</v>
      </c>
      <c r="G61" s="5"/>
      <c r="H61" s="5">
        <f t="shared" si="0"/>
        <v>0</v>
      </c>
      <c r="I61" s="4"/>
      <c r="J61" s="3" t="s">
        <v>407</v>
      </c>
      <c r="K61" s="3" t="s">
        <v>428</v>
      </c>
      <c r="L61" s="3" t="s">
        <v>105</v>
      </c>
      <c r="M61" s="3" t="s">
        <v>427</v>
      </c>
      <c r="N61" s="3" t="s">
        <v>429</v>
      </c>
      <c r="O61" s="3" t="s">
        <v>69</v>
      </c>
      <c r="P61" s="3" t="s">
        <v>61</v>
      </c>
      <c r="Q61" s="3" t="s">
        <v>443</v>
      </c>
    </row>
    <row r="62" spans="1:17" x14ac:dyDescent="0.35">
      <c r="A62" s="3" t="s">
        <v>408</v>
      </c>
      <c r="B62" s="3" t="s">
        <v>410</v>
      </c>
      <c r="C62" s="20">
        <v>46170</v>
      </c>
      <c r="D62" s="20">
        <v>46184</v>
      </c>
      <c r="E62" s="3" t="s">
        <v>56</v>
      </c>
      <c r="F62" s="3" t="s">
        <v>412</v>
      </c>
      <c r="G62" s="5"/>
      <c r="H62" s="5">
        <f t="shared" si="0"/>
        <v>0</v>
      </c>
      <c r="I62" s="4"/>
      <c r="J62" s="3" t="s">
        <v>411</v>
      </c>
      <c r="K62" s="3" t="s">
        <v>431</v>
      </c>
      <c r="L62" s="3" t="s">
        <v>131</v>
      </c>
      <c r="M62" s="3" t="s">
        <v>430</v>
      </c>
      <c r="N62" s="3" t="s">
        <v>432</v>
      </c>
      <c r="O62" s="3" t="s">
        <v>409</v>
      </c>
      <c r="P62" s="3" t="s">
        <v>61</v>
      </c>
      <c r="Q62" s="3" t="s">
        <v>443</v>
      </c>
    </row>
    <row r="63" spans="1:17" x14ac:dyDescent="0.35">
      <c r="A63" s="3" t="s">
        <v>436</v>
      </c>
      <c r="B63" s="3" t="s">
        <v>162</v>
      </c>
      <c r="C63" s="20">
        <v>46174</v>
      </c>
      <c r="D63" s="20">
        <v>46188</v>
      </c>
      <c r="E63" s="3" t="s">
        <v>56</v>
      </c>
      <c r="F63" s="3" t="s">
        <v>435</v>
      </c>
      <c r="G63" s="5"/>
      <c r="H63" s="5">
        <f t="shared" si="0"/>
        <v>0</v>
      </c>
      <c r="I63" s="4"/>
      <c r="J63" s="3" t="s">
        <v>434</v>
      </c>
      <c r="K63" s="3" t="s">
        <v>483</v>
      </c>
      <c r="L63" s="3" t="s">
        <v>234</v>
      </c>
      <c r="M63" s="3" t="s">
        <v>484</v>
      </c>
      <c r="N63" s="3" t="s">
        <v>485</v>
      </c>
      <c r="O63" s="3" t="s">
        <v>433</v>
      </c>
      <c r="P63" s="3" t="s">
        <v>60</v>
      </c>
      <c r="Q63" s="3" t="s">
        <v>443</v>
      </c>
    </row>
    <row r="64" spans="1:17" x14ac:dyDescent="0.35">
      <c r="A64" s="3" t="s">
        <v>437</v>
      </c>
      <c r="B64" s="3" t="s">
        <v>162</v>
      </c>
      <c r="C64" s="20">
        <v>46174</v>
      </c>
      <c r="D64" s="20" t="s">
        <v>139</v>
      </c>
      <c r="E64" s="3" t="s">
        <v>141</v>
      </c>
      <c r="F64" s="3" t="s">
        <v>438</v>
      </c>
      <c r="G64" s="5"/>
      <c r="H64" s="5">
        <f t="shared" si="0"/>
        <v>0</v>
      </c>
      <c r="I64" s="4"/>
      <c r="J64" s="3" t="s">
        <v>452</v>
      </c>
      <c r="K64" s="3" t="s">
        <v>487</v>
      </c>
      <c r="L64" s="3" t="s">
        <v>80</v>
      </c>
      <c r="M64" s="3" t="s">
        <v>486</v>
      </c>
      <c r="N64" s="3" t="s">
        <v>488</v>
      </c>
      <c r="O64" s="3" t="s">
        <v>525</v>
      </c>
      <c r="P64" s="3" t="s">
        <v>60</v>
      </c>
      <c r="Q64" s="3" t="s">
        <v>443</v>
      </c>
    </row>
    <row r="65" spans="1:17" x14ac:dyDescent="0.35">
      <c r="A65" s="3" t="s">
        <v>439</v>
      </c>
      <c r="B65" s="3" t="s">
        <v>162</v>
      </c>
      <c r="C65" s="20">
        <v>46174</v>
      </c>
      <c r="D65" s="20">
        <v>46188</v>
      </c>
      <c r="E65" s="3" t="s">
        <v>56</v>
      </c>
      <c r="F65" s="3" t="s">
        <v>438</v>
      </c>
      <c r="G65" s="5"/>
      <c r="H65" s="5">
        <f t="shared" si="0"/>
        <v>0</v>
      </c>
      <c r="I65" s="4"/>
      <c r="J65" s="3" t="s">
        <v>453</v>
      </c>
      <c r="K65" s="3" t="s">
        <v>490</v>
      </c>
      <c r="L65" s="3" t="s">
        <v>234</v>
      </c>
      <c r="M65" s="3" t="s">
        <v>489</v>
      </c>
      <c r="N65" s="3" t="s">
        <v>491</v>
      </c>
      <c r="O65" s="3" t="s">
        <v>440</v>
      </c>
      <c r="P65" s="3" t="s">
        <v>61</v>
      </c>
      <c r="Q65" s="3" t="s">
        <v>442</v>
      </c>
    </row>
    <row r="66" spans="1:17" x14ac:dyDescent="0.35">
      <c r="A66" s="3" t="s">
        <v>444</v>
      </c>
      <c r="B66" s="3" t="s">
        <v>446</v>
      </c>
      <c r="C66" s="20">
        <v>46174</v>
      </c>
      <c r="D66" s="20">
        <v>46188</v>
      </c>
      <c r="E66" s="3" t="s">
        <v>56</v>
      </c>
      <c r="F66" s="3" t="s">
        <v>451</v>
      </c>
      <c r="G66" s="5"/>
      <c r="H66" s="5">
        <f t="shared" si="0"/>
        <v>0</v>
      </c>
      <c r="I66" s="4"/>
      <c r="J66" s="3" t="s">
        <v>454</v>
      </c>
      <c r="K66" s="3" t="s">
        <v>526</v>
      </c>
      <c r="L66" s="3" t="s">
        <v>234</v>
      </c>
      <c r="M66" s="3" t="s">
        <v>492</v>
      </c>
      <c r="N66" s="3" t="s">
        <v>493</v>
      </c>
      <c r="O66" s="3" t="s">
        <v>445</v>
      </c>
      <c r="P66" s="3" t="s">
        <v>60</v>
      </c>
      <c r="Q66" s="3" t="s">
        <v>443</v>
      </c>
    </row>
    <row r="67" spans="1:17" x14ac:dyDescent="0.35">
      <c r="A67" s="3" t="s">
        <v>447</v>
      </c>
      <c r="B67" s="3" t="s">
        <v>449</v>
      </c>
      <c r="C67" s="20">
        <v>46174</v>
      </c>
      <c r="D67" s="20">
        <v>46188</v>
      </c>
      <c r="E67" s="3" t="s">
        <v>56</v>
      </c>
      <c r="F67" s="3" t="s">
        <v>438</v>
      </c>
      <c r="G67" s="5"/>
      <c r="H67" s="5">
        <f t="shared" si="0"/>
        <v>0</v>
      </c>
      <c r="I67" s="4"/>
      <c r="J67" s="3" t="s">
        <v>455</v>
      </c>
      <c r="K67" s="3" t="s">
        <v>495</v>
      </c>
      <c r="L67" s="3" t="s">
        <v>105</v>
      </c>
      <c r="M67" s="3" t="s">
        <v>494</v>
      </c>
      <c r="N67" s="3" t="s">
        <v>496</v>
      </c>
      <c r="O67" s="3" t="s">
        <v>448</v>
      </c>
      <c r="P67" s="3" t="s">
        <v>61</v>
      </c>
      <c r="Q67" s="3" t="s">
        <v>442</v>
      </c>
    </row>
    <row r="68" spans="1:17" x14ac:dyDescent="0.35">
      <c r="A68" s="3" t="s">
        <v>450</v>
      </c>
      <c r="B68" s="3" t="s">
        <v>162</v>
      </c>
      <c r="C68" s="20">
        <v>46174</v>
      </c>
      <c r="D68" s="20" t="s">
        <v>139</v>
      </c>
      <c r="E68" s="3" t="s">
        <v>56</v>
      </c>
      <c r="F68" s="3" t="s">
        <v>398</v>
      </c>
      <c r="G68" s="5"/>
      <c r="H68" s="5">
        <f t="shared" si="0"/>
        <v>0</v>
      </c>
      <c r="I68" s="4"/>
      <c r="J68" s="3" t="s">
        <v>456</v>
      </c>
      <c r="K68" s="3" t="s">
        <v>498</v>
      </c>
      <c r="L68" s="3" t="s">
        <v>499</v>
      </c>
      <c r="M68" s="3" t="s">
        <v>497</v>
      </c>
      <c r="N68" s="3" t="s">
        <v>500</v>
      </c>
      <c r="O68" s="3" t="s">
        <v>69</v>
      </c>
      <c r="P68" s="3" t="s">
        <v>61</v>
      </c>
      <c r="Q68" s="3" t="s">
        <v>443</v>
      </c>
    </row>
    <row r="69" spans="1:17" x14ac:dyDescent="0.35">
      <c r="A69" s="3" t="s">
        <v>458</v>
      </c>
      <c r="B69" s="3" t="s">
        <v>162</v>
      </c>
      <c r="C69" s="20">
        <v>46174</v>
      </c>
      <c r="D69" s="20">
        <v>46188</v>
      </c>
      <c r="E69" s="3" t="s">
        <v>56</v>
      </c>
      <c r="F69" s="3" t="s">
        <v>459</v>
      </c>
      <c r="G69" s="5"/>
      <c r="H69" s="5">
        <f t="shared" si="0"/>
        <v>0</v>
      </c>
      <c r="I69" s="4"/>
      <c r="J69" s="3" t="s">
        <v>507</v>
      </c>
      <c r="K69" s="3" t="s">
        <v>509</v>
      </c>
      <c r="L69" s="3" t="s">
        <v>105</v>
      </c>
      <c r="M69" s="3" t="s">
        <v>508</v>
      </c>
      <c r="N69" s="3" t="s">
        <v>510</v>
      </c>
      <c r="O69" s="3" t="s">
        <v>460</v>
      </c>
      <c r="P69" s="3" t="s">
        <v>442</v>
      </c>
      <c r="Q69" s="3" t="s">
        <v>442</v>
      </c>
    </row>
    <row r="70" spans="1:17" x14ac:dyDescent="0.35">
      <c r="A70" s="3" t="s">
        <v>461</v>
      </c>
      <c r="B70" s="3" t="s">
        <v>162</v>
      </c>
      <c r="C70" s="20">
        <v>46174</v>
      </c>
      <c r="D70" s="20" t="s">
        <v>139</v>
      </c>
      <c r="E70" s="3" t="s">
        <v>56</v>
      </c>
      <c r="F70" s="3" t="s">
        <v>459</v>
      </c>
      <c r="G70" s="5"/>
      <c r="H70" s="5">
        <f t="shared" si="0"/>
        <v>0</v>
      </c>
      <c r="I70" s="4"/>
      <c r="J70" s="3" t="s">
        <v>462</v>
      </c>
      <c r="K70" s="3" t="s">
        <v>505</v>
      </c>
      <c r="L70" s="3" t="s">
        <v>131</v>
      </c>
      <c r="M70" s="3" t="s">
        <v>504</v>
      </c>
      <c r="N70" s="3" t="s">
        <v>506</v>
      </c>
      <c r="O70" s="3" t="s">
        <v>460</v>
      </c>
      <c r="P70" s="3" t="s">
        <v>442</v>
      </c>
      <c r="Q70" s="3" t="s">
        <v>442</v>
      </c>
    </row>
    <row r="71" spans="1:17" x14ac:dyDescent="0.35">
      <c r="A71" s="3" t="s">
        <v>463</v>
      </c>
      <c r="B71" s="3" t="s">
        <v>389</v>
      </c>
      <c r="C71" s="20">
        <v>46174</v>
      </c>
      <c r="D71" s="20">
        <v>46188</v>
      </c>
      <c r="E71" s="3" t="s">
        <v>128</v>
      </c>
      <c r="F71" s="3" t="s">
        <v>464</v>
      </c>
      <c r="G71" s="5"/>
      <c r="H71" s="5">
        <f t="shared" si="0"/>
        <v>0</v>
      </c>
      <c r="I71" s="4"/>
      <c r="J71" s="3" t="s">
        <v>457</v>
      </c>
      <c r="K71" s="3" t="s">
        <v>502</v>
      </c>
      <c r="L71" s="3" t="s">
        <v>98</v>
      </c>
      <c r="M71" s="3" t="s">
        <v>501</v>
      </c>
      <c r="N71" s="3" t="s">
        <v>503</v>
      </c>
      <c r="O71" s="3" t="s">
        <v>466</v>
      </c>
      <c r="P71" s="3" t="s">
        <v>465</v>
      </c>
      <c r="Q71" s="3" t="s">
        <v>443</v>
      </c>
    </row>
    <row r="72" spans="1:17" x14ac:dyDescent="0.35">
      <c r="A72" s="3" t="s">
        <v>467</v>
      </c>
      <c r="B72" s="3" t="s">
        <v>389</v>
      </c>
      <c r="C72" s="3" t="s">
        <v>527</v>
      </c>
      <c r="D72" s="3" t="s">
        <v>527</v>
      </c>
      <c r="E72" s="3" t="s">
        <v>128</v>
      </c>
      <c r="F72" s="3" t="s">
        <v>464</v>
      </c>
      <c r="G72" s="5"/>
      <c r="H72" s="5">
        <f t="shared" ref="H72:H76" si="1">IFERROR((G72*1000000*$B$2)/10000000,0)</f>
        <v>0</v>
      </c>
      <c r="I72" s="4"/>
      <c r="J72" s="3" t="s">
        <v>468</v>
      </c>
      <c r="K72" s="3"/>
      <c r="L72" s="3"/>
      <c r="M72" s="3"/>
      <c r="N72" s="3"/>
      <c r="O72" s="3" t="s">
        <v>466</v>
      </c>
      <c r="P72" s="3" t="s">
        <v>465</v>
      </c>
      <c r="Q72" s="3" t="s">
        <v>443</v>
      </c>
    </row>
    <row r="73" spans="1:17" x14ac:dyDescent="0.35">
      <c r="A73" s="3" t="s">
        <v>469</v>
      </c>
      <c r="B73" s="3" t="s">
        <v>277</v>
      </c>
      <c r="C73" s="20">
        <v>46174</v>
      </c>
      <c r="D73" s="20">
        <v>46188</v>
      </c>
      <c r="E73" s="3" t="s">
        <v>56</v>
      </c>
      <c r="F73" s="3" t="s">
        <v>470</v>
      </c>
      <c r="G73" s="5"/>
      <c r="H73" s="5">
        <f t="shared" si="1"/>
        <v>0</v>
      </c>
      <c r="I73" s="4"/>
      <c r="J73" s="3" t="s">
        <v>471</v>
      </c>
      <c r="K73" s="3" t="s">
        <v>512</v>
      </c>
      <c r="L73" s="3" t="s">
        <v>98</v>
      </c>
      <c r="M73" s="3" t="s">
        <v>511</v>
      </c>
      <c r="N73" s="3" t="s">
        <v>513</v>
      </c>
      <c r="O73" s="3" t="s">
        <v>472</v>
      </c>
      <c r="P73" s="3" t="s">
        <v>60</v>
      </c>
      <c r="Q73" s="3" t="s">
        <v>443</v>
      </c>
    </row>
    <row r="74" spans="1:17" x14ac:dyDescent="0.35">
      <c r="A74" s="3" t="s">
        <v>473</v>
      </c>
      <c r="B74" s="3" t="s">
        <v>389</v>
      </c>
      <c r="C74" s="20">
        <v>46174</v>
      </c>
      <c r="D74" s="20">
        <v>46188</v>
      </c>
      <c r="E74" s="3" t="s">
        <v>128</v>
      </c>
      <c r="F74" s="3" t="s">
        <v>474</v>
      </c>
      <c r="G74" s="5"/>
      <c r="H74" s="5">
        <f t="shared" si="1"/>
        <v>0</v>
      </c>
      <c r="I74" s="4"/>
      <c r="J74" s="3" t="s">
        <v>475</v>
      </c>
      <c r="K74" s="3" t="s">
        <v>515</v>
      </c>
      <c r="L74" s="3" t="s">
        <v>131</v>
      </c>
      <c r="M74" s="3" t="s">
        <v>514</v>
      </c>
      <c r="N74" s="3" t="s">
        <v>516</v>
      </c>
      <c r="O74" s="3" t="s">
        <v>466</v>
      </c>
      <c r="P74" s="3" t="s">
        <v>61</v>
      </c>
      <c r="Q74" s="3" t="s">
        <v>443</v>
      </c>
    </row>
    <row r="75" spans="1:17" x14ac:dyDescent="0.35">
      <c r="A75" s="3" t="s">
        <v>476</v>
      </c>
      <c r="B75" s="3" t="s">
        <v>389</v>
      </c>
      <c r="C75" s="20">
        <v>46174</v>
      </c>
      <c r="D75" s="20">
        <v>46188</v>
      </c>
      <c r="E75" s="3" t="s">
        <v>128</v>
      </c>
      <c r="F75" s="3" t="s">
        <v>477</v>
      </c>
      <c r="G75" s="5"/>
      <c r="H75" s="5">
        <f t="shared" si="1"/>
        <v>0</v>
      </c>
      <c r="I75" s="4"/>
      <c r="J75" s="3" t="s">
        <v>478</v>
      </c>
      <c r="K75" s="3" t="s">
        <v>518</v>
      </c>
      <c r="L75" s="3" t="s">
        <v>519</v>
      </c>
      <c r="M75" s="3" t="s">
        <v>517</v>
      </c>
      <c r="N75" s="3" t="s">
        <v>520</v>
      </c>
      <c r="O75" s="3" t="s">
        <v>466</v>
      </c>
      <c r="P75" s="3" t="s">
        <v>61</v>
      </c>
      <c r="Q75" s="3" t="s">
        <v>443</v>
      </c>
    </row>
    <row r="76" spans="1:17" x14ac:dyDescent="0.35">
      <c r="A76" s="3" t="s">
        <v>479</v>
      </c>
      <c r="B76" s="3" t="s">
        <v>482</v>
      </c>
      <c r="C76" s="20">
        <v>46174</v>
      </c>
      <c r="D76" s="20" t="s">
        <v>230</v>
      </c>
      <c r="E76" s="3" t="s">
        <v>128</v>
      </c>
      <c r="F76" s="3" t="s">
        <v>480</v>
      </c>
      <c r="G76" s="5"/>
      <c r="H76" s="5">
        <f t="shared" si="1"/>
        <v>0</v>
      </c>
      <c r="I76" s="4"/>
      <c r="J76" s="3" t="s">
        <v>481</v>
      </c>
      <c r="K76" s="3" t="s">
        <v>522</v>
      </c>
      <c r="L76" s="3" t="s">
        <v>523</v>
      </c>
      <c r="M76" s="3" t="s">
        <v>521</v>
      </c>
      <c r="N76" s="3" t="s">
        <v>524</v>
      </c>
      <c r="O76" s="3" t="s">
        <v>466</v>
      </c>
      <c r="P76" s="3" t="s">
        <v>61</v>
      </c>
      <c r="Q76" s="3" t="s">
        <v>443</v>
      </c>
    </row>
    <row r="77" spans="1:17" x14ac:dyDescent="0.35">
      <c r="A77" s="3"/>
      <c r="B77" s="3"/>
      <c r="C77" s="3"/>
      <c r="D77" s="3"/>
      <c r="E77" s="3"/>
      <c r="F77" s="3"/>
      <c r="G77" s="5"/>
      <c r="H77" s="5"/>
      <c r="I77" s="4"/>
      <c r="J77" s="3"/>
      <c r="K77" s="3"/>
      <c r="L77" s="3"/>
      <c r="M77" s="3"/>
      <c r="N77" s="3"/>
      <c r="O77" s="3"/>
      <c r="P77" s="3"/>
      <c r="Q77" s="3"/>
    </row>
  </sheetData>
  <autoFilter ref="A6:Q77" xr:uid="{54EEA4A4-EA88-4100-9CE4-58BA65D723B6}"/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37C3-68E5-4C51-B5A2-04C797B8C888}">
  <dimension ref="A1:N56"/>
  <sheetViews>
    <sheetView zoomScaleNormal="100" workbookViewId="0">
      <pane xSplit="1" ySplit="6" topLeftCell="B7" activePane="bottomRight" state="frozen"/>
      <selection activeCell="A3" sqref="A3"/>
      <selection pane="topRight" activeCell="A3" sqref="A3"/>
      <selection pane="bottomLeft" activeCell="A3" sqref="A3"/>
      <selection pane="bottomRight" activeCell="D29" sqref="D29"/>
    </sheetView>
  </sheetViews>
  <sheetFormatPr defaultColWidth="13.36328125" defaultRowHeight="14.5" x14ac:dyDescent="0.35"/>
  <cols>
    <col min="1" max="1" width="30.54296875" style="1" bestFit="1" customWidth="1"/>
    <col min="2" max="2" width="11.453125" style="1" bestFit="1" customWidth="1"/>
    <col min="3" max="3" width="20.1796875" style="1" bestFit="1" customWidth="1"/>
    <col min="4" max="4" width="15.08984375" style="1" bestFit="1" customWidth="1"/>
    <col min="5" max="5" width="18.36328125" style="1" bestFit="1" customWidth="1"/>
    <col min="6" max="6" width="31.36328125" style="2" bestFit="1" customWidth="1"/>
    <col min="7" max="7" width="21" style="2" bestFit="1" customWidth="1"/>
    <col min="8" max="8" width="20" style="2" bestFit="1" customWidth="1"/>
    <col min="9" max="9" width="21" style="1" bestFit="1" customWidth="1"/>
    <col min="10" max="10" width="23.453125" style="1" bestFit="1" customWidth="1"/>
    <col min="11" max="11" width="21" style="1" bestFit="1" customWidth="1"/>
    <col min="12" max="12" width="16.36328125" style="1" bestFit="1" customWidth="1"/>
    <col min="13" max="13" width="17.26953125" style="1" bestFit="1" customWidth="1"/>
    <col min="14" max="14" width="19.1796875" style="1" bestFit="1" customWidth="1"/>
    <col min="15" max="16384" width="13.36328125" style="1"/>
  </cols>
  <sheetData>
    <row r="1" spans="1:14" x14ac:dyDescent="0.35">
      <c r="A1" s="7" t="s">
        <v>23</v>
      </c>
    </row>
    <row r="2" spans="1:14" x14ac:dyDescent="0.35">
      <c r="A2" s="1" t="s">
        <v>14</v>
      </c>
      <c r="B2" s="1" t="s">
        <v>22</v>
      </c>
    </row>
    <row r="3" spans="1:14" x14ac:dyDescent="0.35">
      <c r="A3" s="1">
        <f>COUNTA(A7:A1048576)</f>
        <v>0</v>
      </c>
    </row>
    <row r="6" spans="1:14" x14ac:dyDescent="0.35">
      <c r="A6" s="6" t="s">
        <v>13</v>
      </c>
      <c r="B6" s="6" t="s">
        <v>5</v>
      </c>
      <c r="C6" s="6" t="s">
        <v>12</v>
      </c>
      <c r="D6" s="6" t="s">
        <v>4</v>
      </c>
      <c r="E6" s="6" t="s">
        <v>11</v>
      </c>
      <c r="F6" s="6" t="s">
        <v>10</v>
      </c>
      <c r="G6" s="6" t="s">
        <v>9</v>
      </c>
      <c r="H6" s="6" t="s">
        <v>8</v>
      </c>
      <c r="I6" s="6" t="s">
        <v>7</v>
      </c>
      <c r="J6" s="6" t="s">
        <v>3</v>
      </c>
      <c r="K6" s="6" t="s">
        <v>2</v>
      </c>
      <c r="L6" s="6" t="s">
        <v>1</v>
      </c>
      <c r="M6" s="6" t="s">
        <v>0</v>
      </c>
      <c r="N6" s="6" t="s">
        <v>18</v>
      </c>
    </row>
    <row r="7" spans="1:14" x14ac:dyDescent="0.35">
      <c r="A7" s="3"/>
      <c r="B7" s="3"/>
      <c r="C7" s="3"/>
      <c r="D7" s="3"/>
      <c r="E7" s="3"/>
      <c r="F7" s="5"/>
      <c r="G7" s="5">
        <f>IFERROR((F7*1000000*$B$2)/10000000,0)</f>
        <v>0</v>
      </c>
      <c r="H7" s="4"/>
      <c r="I7" s="3"/>
      <c r="J7" s="3"/>
      <c r="K7" s="3"/>
      <c r="L7" s="3"/>
      <c r="M7" s="3"/>
      <c r="N7" s="3"/>
    </row>
    <row r="8" spans="1:14" x14ac:dyDescent="0.35">
      <c r="A8" s="3"/>
      <c r="B8" s="3"/>
      <c r="C8" s="3"/>
      <c r="D8" s="3"/>
      <c r="E8" s="3"/>
      <c r="F8" s="5"/>
      <c r="G8" s="5">
        <f t="shared" ref="G8:G56" si="0">IFERROR((F8*1000000*$B$2)/10000000,0)</f>
        <v>0</v>
      </c>
      <c r="H8" s="4"/>
      <c r="I8" s="3"/>
      <c r="J8" s="3"/>
      <c r="K8" s="3"/>
      <c r="L8" s="3"/>
      <c r="M8" s="3"/>
      <c r="N8" s="3"/>
    </row>
    <row r="9" spans="1:14" x14ac:dyDescent="0.35">
      <c r="A9" s="3"/>
      <c r="B9" s="3"/>
      <c r="C9" s="3"/>
      <c r="D9" s="3"/>
      <c r="E9" s="3"/>
      <c r="F9" s="5"/>
      <c r="G9" s="5">
        <f t="shared" si="0"/>
        <v>0</v>
      </c>
      <c r="H9" s="4"/>
      <c r="I9" s="3"/>
      <c r="J9" s="3"/>
      <c r="K9" s="3"/>
      <c r="L9" s="3"/>
      <c r="M9" s="3"/>
      <c r="N9" s="3"/>
    </row>
    <row r="10" spans="1:14" x14ac:dyDescent="0.35">
      <c r="A10" s="3"/>
      <c r="B10" s="3"/>
      <c r="C10" s="3"/>
      <c r="D10" s="3"/>
      <c r="E10" s="3"/>
      <c r="F10" s="5"/>
      <c r="G10" s="5">
        <f t="shared" si="0"/>
        <v>0</v>
      </c>
      <c r="H10" s="4"/>
      <c r="I10" s="3"/>
      <c r="J10" s="3"/>
      <c r="K10" s="3"/>
      <c r="L10" s="3"/>
      <c r="M10" s="3"/>
      <c r="N10" s="3"/>
    </row>
    <row r="11" spans="1:14" x14ac:dyDescent="0.35">
      <c r="A11" s="3"/>
      <c r="B11" s="3"/>
      <c r="C11" s="3"/>
      <c r="D11" s="3"/>
      <c r="E11" s="3"/>
      <c r="F11" s="5"/>
      <c r="G11" s="5">
        <f t="shared" si="0"/>
        <v>0</v>
      </c>
      <c r="H11" s="4"/>
      <c r="I11" s="3"/>
      <c r="J11" s="3"/>
      <c r="K11" s="3"/>
      <c r="L11" s="3"/>
      <c r="M11" s="3"/>
      <c r="N11" s="3"/>
    </row>
    <row r="12" spans="1:14" x14ac:dyDescent="0.35">
      <c r="A12" s="3"/>
      <c r="B12" s="3"/>
      <c r="C12" s="3"/>
      <c r="D12" s="3"/>
      <c r="E12" s="3"/>
      <c r="F12" s="5"/>
      <c r="G12" s="5">
        <f t="shared" si="0"/>
        <v>0</v>
      </c>
      <c r="H12" s="4"/>
      <c r="I12" s="3"/>
      <c r="J12" s="3"/>
      <c r="K12" s="3"/>
      <c r="L12" s="3"/>
      <c r="M12" s="3"/>
      <c r="N12" s="3"/>
    </row>
    <row r="13" spans="1:14" x14ac:dyDescent="0.35">
      <c r="A13" s="3"/>
      <c r="B13" s="3"/>
      <c r="C13" s="3"/>
      <c r="D13" s="3"/>
      <c r="E13" s="3"/>
      <c r="F13" s="5"/>
      <c r="G13" s="5">
        <f t="shared" si="0"/>
        <v>0</v>
      </c>
      <c r="H13" s="4"/>
      <c r="I13" s="3"/>
      <c r="J13" s="3"/>
      <c r="K13" s="3"/>
      <c r="L13" s="3"/>
      <c r="M13" s="3"/>
      <c r="N13" s="3"/>
    </row>
    <row r="14" spans="1:14" x14ac:dyDescent="0.35">
      <c r="A14" s="3"/>
      <c r="B14" s="3"/>
      <c r="C14" s="3"/>
      <c r="D14" s="3"/>
      <c r="E14" s="3"/>
      <c r="F14" s="5"/>
      <c r="G14" s="5">
        <f t="shared" si="0"/>
        <v>0</v>
      </c>
      <c r="H14" s="4"/>
      <c r="I14" s="3"/>
      <c r="J14" s="3"/>
      <c r="K14" s="3"/>
      <c r="L14" s="3"/>
      <c r="M14" s="3"/>
      <c r="N14" s="3"/>
    </row>
    <row r="15" spans="1:14" x14ac:dyDescent="0.35">
      <c r="A15" s="3"/>
      <c r="B15" s="3"/>
      <c r="C15" s="3"/>
      <c r="D15" s="3"/>
      <c r="E15" s="3"/>
      <c r="F15" s="5"/>
      <c r="G15" s="5">
        <f t="shared" si="0"/>
        <v>0</v>
      </c>
      <c r="H15" s="4"/>
      <c r="I15" s="3"/>
      <c r="J15" s="3"/>
      <c r="K15" s="3"/>
      <c r="L15" s="3"/>
      <c r="M15" s="3"/>
      <c r="N15" s="3"/>
    </row>
    <row r="16" spans="1:14" x14ac:dyDescent="0.35">
      <c r="A16" s="3"/>
      <c r="B16" s="3"/>
      <c r="C16" s="3"/>
      <c r="D16" s="3"/>
      <c r="E16" s="3"/>
      <c r="F16" s="5"/>
      <c r="G16" s="5">
        <f t="shared" si="0"/>
        <v>0</v>
      </c>
      <c r="H16" s="4"/>
      <c r="I16" s="3"/>
      <c r="J16" s="3"/>
      <c r="K16" s="3"/>
      <c r="L16" s="3"/>
      <c r="M16" s="3"/>
      <c r="N16" s="3"/>
    </row>
    <row r="17" spans="1:14" x14ac:dyDescent="0.35">
      <c r="A17" s="3"/>
      <c r="B17" s="3"/>
      <c r="C17" s="3"/>
      <c r="D17" s="3"/>
      <c r="E17" s="3"/>
      <c r="F17" s="5"/>
      <c r="G17" s="5">
        <f t="shared" si="0"/>
        <v>0</v>
      </c>
      <c r="H17" s="4"/>
      <c r="I17" s="3"/>
      <c r="J17" s="3"/>
      <c r="K17" s="3"/>
      <c r="L17" s="3"/>
      <c r="M17" s="3"/>
      <c r="N17" s="3"/>
    </row>
    <row r="18" spans="1:14" x14ac:dyDescent="0.35">
      <c r="A18" s="3"/>
      <c r="B18" s="3"/>
      <c r="C18" s="3"/>
      <c r="D18" s="3"/>
      <c r="E18" s="3"/>
      <c r="F18" s="5"/>
      <c r="G18" s="5">
        <f t="shared" si="0"/>
        <v>0</v>
      </c>
      <c r="H18" s="4"/>
      <c r="I18" s="3"/>
      <c r="J18" s="3"/>
      <c r="K18" s="3"/>
      <c r="L18" s="3"/>
      <c r="M18" s="3"/>
      <c r="N18" s="3"/>
    </row>
    <row r="19" spans="1:14" x14ac:dyDescent="0.35">
      <c r="A19" s="3"/>
      <c r="B19" s="3"/>
      <c r="C19" s="3"/>
      <c r="D19" s="3"/>
      <c r="E19" s="3"/>
      <c r="F19" s="5"/>
      <c r="G19" s="5">
        <f t="shared" si="0"/>
        <v>0</v>
      </c>
      <c r="H19" s="4"/>
      <c r="I19" s="3"/>
      <c r="J19" s="3"/>
      <c r="K19" s="3"/>
      <c r="L19" s="3"/>
      <c r="M19" s="3"/>
      <c r="N19" s="3"/>
    </row>
    <row r="20" spans="1:14" x14ac:dyDescent="0.35">
      <c r="A20" s="3"/>
      <c r="B20" s="3"/>
      <c r="C20" s="3"/>
      <c r="D20" s="3"/>
      <c r="E20" s="3"/>
      <c r="F20" s="5"/>
      <c r="G20" s="5">
        <f t="shared" si="0"/>
        <v>0</v>
      </c>
      <c r="H20" s="4"/>
      <c r="I20" s="3"/>
      <c r="J20" s="3"/>
      <c r="K20" s="3"/>
      <c r="L20" s="3"/>
      <c r="M20" s="3"/>
      <c r="N20" s="3"/>
    </row>
    <row r="21" spans="1:14" x14ac:dyDescent="0.35">
      <c r="A21" s="3"/>
      <c r="B21" s="3"/>
      <c r="C21" s="3"/>
      <c r="D21" s="3"/>
      <c r="E21" s="3"/>
      <c r="F21" s="5"/>
      <c r="G21" s="5">
        <f t="shared" si="0"/>
        <v>0</v>
      </c>
      <c r="H21" s="4"/>
      <c r="I21" s="3"/>
      <c r="J21" s="3"/>
      <c r="K21" s="3"/>
      <c r="L21" s="3"/>
      <c r="M21" s="3"/>
      <c r="N21" s="3"/>
    </row>
    <row r="22" spans="1:14" x14ac:dyDescent="0.35">
      <c r="A22" s="3"/>
      <c r="B22" s="3"/>
      <c r="C22" s="3"/>
      <c r="D22" s="3"/>
      <c r="E22" s="3"/>
      <c r="F22" s="5"/>
      <c r="G22" s="5">
        <f t="shared" si="0"/>
        <v>0</v>
      </c>
      <c r="H22" s="4"/>
      <c r="I22" s="3"/>
      <c r="J22" s="3"/>
      <c r="L22" s="3"/>
      <c r="M22" s="3"/>
      <c r="N22" s="3"/>
    </row>
    <row r="23" spans="1:14" x14ac:dyDescent="0.35">
      <c r="A23" s="3"/>
      <c r="B23" s="3"/>
      <c r="C23" s="3"/>
      <c r="D23" s="3"/>
      <c r="E23" s="3"/>
      <c r="F23" s="5"/>
      <c r="G23" s="5">
        <f t="shared" si="0"/>
        <v>0</v>
      </c>
      <c r="H23" s="4"/>
      <c r="I23" s="3"/>
      <c r="J23" s="3"/>
      <c r="K23" s="3"/>
      <c r="L23" s="3"/>
      <c r="M23" s="3"/>
      <c r="N23" s="3"/>
    </row>
    <row r="24" spans="1:14" x14ac:dyDescent="0.35">
      <c r="A24" s="3"/>
      <c r="B24" s="3"/>
      <c r="C24" s="3"/>
      <c r="D24" s="3"/>
      <c r="E24" s="3"/>
      <c r="F24" s="5"/>
      <c r="G24" s="5">
        <f t="shared" si="0"/>
        <v>0</v>
      </c>
      <c r="H24" s="4"/>
      <c r="I24" s="3"/>
      <c r="J24" s="3"/>
      <c r="K24" s="3"/>
      <c r="L24" s="3"/>
      <c r="M24" s="3"/>
      <c r="N24" s="3"/>
    </row>
    <row r="25" spans="1:14" x14ac:dyDescent="0.35">
      <c r="A25" s="3"/>
      <c r="B25" s="3"/>
      <c r="C25" s="3"/>
      <c r="D25" s="3"/>
      <c r="E25" s="3"/>
      <c r="F25" s="5"/>
      <c r="G25" s="5">
        <f t="shared" si="0"/>
        <v>0</v>
      </c>
      <c r="H25" s="4"/>
      <c r="I25" s="3"/>
      <c r="J25" s="3"/>
      <c r="K25" s="3"/>
      <c r="L25" s="3"/>
      <c r="M25" s="3"/>
      <c r="N25" s="3"/>
    </row>
    <row r="26" spans="1:14" x14ac:dyDescent="0.35">
      <c r="A26" s="3"/>
      <c r="B26" s="3"/>
      <c r="C26" s="3"/>
      <c r="D26" s="3"/>
      <c r="E26" s="3"/>
      <c r="F26" s="5"/>
      <c r="G26" s="5">
        <f t="shared" si="0"/>
        <v>0</v>
      </c>
      <c r="H26" s="4"/>
      <c r="I26" s="3"/>
      <c r="J26" s="3"/>
      <c r="K26" s="3"/>
      <c r="L26" s="3"/>
      <c r="M26" s="3"/>
      <c r="N26" s="3"/>
    </row>
    <row r="27" spans="1:14" x14ac:dyDescent="0.35">
      <c r="A27" s="3"/>
      <c r="B27" s="3"/>
      <c r="C27" s="3"/>
      <c r="D27" s="3"/>
      <c r="E27" s="3"/>
      <c r="F27" s="5"/>
      <c r="G27" s="5">
        <f t="shared" si="0"/>
        <v>0</v>
      </c>
      <c r="H27" s="4"/>
      <c r="I27" s="3"/>
      <c r="J27" s="3"/>
      <c r="K27" s="3"/>
      <c r="L27" s="3"/>
      <c r="M27" s="3"/>
      <c r="N27" s="3"/>
    </row>
    <row r="28" spans="1:14" x14ac:dyDescent="0.35">
      <c r="A28" s="3"/>
      <c r="B28" s="3"/>
      <c r="C28" s="3"/>
      <c r="D28" s="3"/>
      <c r="E28" s="3"/>
      <c r="F28" s="5"/>
      <c r="G28" s="5">
        <f t="shared" si="0"/>
        <v>0</v>
      </c>
      <c r="H28" s="4"/>
      <c r="I28" s="3"/>
      <c r="J28" s="3"/>
      <c r="K28" s="3"/>
      <c r="L28" s="3"/>
      <c r="M28" s="3"/>
      <c r="N28" s="3"/>
    </row>
    <row r="29" spans="1:14" x14ac:dyDescent="0.35">
      <c r="A29" s="3"/>
      <c r="B29" s="3"/>
      <c r="C29" s="3"/>
      <c r="D29" s="3"/>
      <c r="E29" s="3"/>
      <c r="F29" s="5"/>
      <c r="G29" s="5">
        <f t="shared" si="0"/>
        <v>0</v>
      </c>
      <c r="H29" s="4"/>
      <c r="I29" s="3"/>
      <c r="J29" s="3"/>
      <c r="K29" s="3"/>
      <c r="L29" s="3"/>
      <c r="M29" s="3"/>
      <c r="N29" s="3"/>
    </row>
    <row r="30" spans="1:14" x14ac:dyDescent="0.35">
      <c r="A30" s="3"/>
      <c r="B30" s="3"/>
      <c r="C30" s="3"/>
      <c r="D30" s="3"/>
      <c r="E30" s="3"/>
      <c r="F30" s="5"/>
      <c r="G30" s="5">
        <f t="shared" si="0"/>
        <v>0</v>
      </c>
      <c r="H30" s="4"/>
      <c r="I30" s="3"/>
      <c r="J30" s="3"/>
      <c r="K30" s="3"/>
      <c r="L30" s="3"/>
      <c r="M30" s="3"/>
      <c r="N30" s="3"/>
    </row>
    <row r="31" spans="1:14" x14ac:dyDescent="0.35">
      <c r="A31" s="3"/>
      <c r="B31" s="3"/>
      <c r="C31" s="3"/>
      <c r="D31" s="3"/>
      <c r="E31" s="3"/>
      <c r="F31" s="5"/>
      <c r="G31" s="5">
        <f t="shared" si="0"/>
        <v>0</v>
      </c>
      <c r="H31" s="4"/>
      <c r="I31" s="3"/>
      <c r="J31" s="3"/>
      <c r="K31" s="3"/>
      <c r="L31" s="3"/>
      <c r="M31" s="3"/>
      <c r="N31" s="3"/>
    </row>
    <row r="32" spans="1:14" x14ac:dyDescent="0.35">
      <c r="A32" s="3"/>
      <c r="B32" s="3"/>
      <c r="C32" s="3"/>
      <c r="D32" s="3"/>
      <c r="E32" s="3"/>
      <c r="F32" s="5"/>
      <c r="G32" s="5">
        <f t="shared" si="0"/>
        <v>0</v>
      </c>
      <c r="H32" s="4"/>
      <c r="I32" s="3"/>
      <c r="J32" s="3"/>
      <c r="K32" s="3"/>
      <c r="L32" s="3"/>
      <c r="M32" s="3"/>
      <c r="N32" s="3"/>
    </row>
    <row r="33" spans="1:14" x14ac:dyDescent="0.35">
      <c r="A33" s="3"/>
      <c r="B33" s="3"/>
      <c r="C33" s="3"/>
      <c r="D33" s="3"/>
      <c r="E33" s="3"/>
      <c r="F33" s="5"/>
      <c r="G33" s="5">
        <f t="shared" si="0"/>
        <v>0</v>
      </c>
      <c r="H33" s="4"/>
      <c r="I33" s="3"/>
      <c r="J33" s="3"/>
      <c r="K33" s="3"/>
      <c r="L33" s="3"/>
      <c r="M33" s="3"/>
      <c r="N33" s="3"/>
    </row>
    <row r="34" spans="1:14" x14ac:dyDescent="0.35">
      <c r="A34" s="3"/>
      <c r="B34" s="3"/>
      <c r="C34" s="3"/>
      <c r="D34" s="3"/>
      <c r="E34" s="3"/>
      <c r="F34" s="5"/>
      <c r="G34" s="5">
        <f t="shared" si="0"/>
        <v>0</v>
      </c>
      <c r="H34" s="4"/>
      <c r="I34" s="3"/>
      <c r="J34" s="3"/>
      <c r="K34" s="3"/>
      <c r="L34" s="3"/>
      <c r="M34" s="3"/>
      <c r="N34" s="3"/>
    </row>
    <row r="35" spans="1:14" x14ac:dyDescent="0.35">
      <c r="A35" s="3"/>
      <c r="B35" s="3"/>
      <c r="C35" s="3"/>
      <c r="D35" s="3"/>
      <c r="E35" s="3"/>
      <c r="F35" s="5"/>
      <c r="G35" s="5">
        <f t="shared" si="0"/>
        <v>0</v>
      </c>
      <c r="H35" s="4"/>
      <c r="I35" s="3"/>
      <c r="J35" s="3"/>
      <c r="K35" s="3"/>
      <c r="L35" s="3"/>
      <c r="M35" s="3"/>
      <c r="N35" s="3"/>
    </row>
    <row r="36" spans="1:14" x14ac:dyDescent="0.35">
      <c r="A36" s="3"/>
      <c r="B36" s="3"/>
      <c r="C36" s="3"/>
      <c r="D36" s="3"/>
      <c r="E36" s="3"/>
      <c r="F36" s="5"/>
      <c r="G36" s="5">
        <f t="shared" si="0"/>
        <v>0</v>
      </c>
      <c r="H36" s="4"/>
      <c r="I36" s="3"/>
      <c r="J36" s="3"/>
      <c r="K36" s="3"/>
      <c r="L36" s="3"/>
      <c r="M36" s="3"/>
      <c r="N36" s="3"/>
    </row>
    <row r="37" spans="1:14" x14ac:dyDescent="0.35">
      <c r="A37" s="3"/>
      <c r="B37" s="3"/>
      <c r="C37" s="3"/>
      <c r="D37" s="3"/>
      <c r="E37" s="3"/>
      <c r="F37" s="5"/>
      <c r="G37" s="5">
        <f t="shared" si="0"/>
        <v>0</v>
      </c>
      <c r="H37" s="4"/>
      <c r="I37" s="3"/>
      <c r="J37" s="3"/>
      <c r="K37" s="3"/>
      <c r="L37" s="3"/>
      <c r="M37" s="3"/>
      <c r="N37" s="3"/>
    </row>
    <row r="38" spans="1:14" x14ac:dyDescent="0.35">
      <c r="A38" s="3"/>
      <c r="B38" s="3"/>
      <c r="C38" s="3"/>
      <c r="D38" s="3"/>
      <c r="E38" s="3"/>
      <c r="F38" s="5"/>
      <c r="G38" s="5">
        <f t="shared" si="0"/>
        <v>0</v>
      </c>
      <c r="H38" s="4"/>
      <c r="I38" s="3"/>
      <c r="J38" s="3"/>
      <c r="K38" s="3"/>
      <c r="L38" s="3"/>
      <c r="M38" s="3"/>
      <c r="N38" s="3"/>
    </row>
    <row r="39" spans="1:14" x14ac:dyDescent="0.35">
      <c r="A39" s="3"/>
      <c r="B39" s="3"/>
      <c r="C39" s="3"/>
      <c r="D39" s="3"/>
      <c r="E39" s="3"/>
      <c r="F39" s="5"/>
      <c r="G39" s="5">
        <f t="shared" si="0"/>
        <v>0</v>
      </c>
      <c r="H39" s="4"/>
      <c r="I39" s="3"/>
      <c r="J39" s="3"/>
      <c r="K39" s="3"/>
      <c r="L39" s="3"/>
      <c r="M39" s="3"/>
      <c r="N39" s="3"/>
    </row>
    <row r="40" spans="1:14" x14ac:dyDescent="0.35">
      <c r="A40" s="3"/>
      <c r="B40" s="3"/>
      <c r="C40" s="3"/>
      <c r="D40" s="3"/>
      <c r="E40" s="3"/>
      <c r="F40" s="5"/>
      <c r="G40" s="5">
        <f t="shared" si="0"/>
        <v>0</v>
      </c>
      <c r="H40" s="4"/>
      <c r="I40" s="3"/>
      <c r="J40" s="3"/>
      <c r="K40" s="3"/>
      <c r="L40" s="3"/>
      <c r="M40" s="3"/>
      <c r="N40" s="3"/>
    </row>
    <row r="41" spans="1:14" x14ac:dyDescent="0.35">
      <c r="A41" s="3"/>
      <c r="B41" s="3"/>
      <c r="C41" s="3"/>
      <c r="D41" s="3"/>
      <c r="E41" s="3"/>
      <c r="F41" s="5"/>
      <c r="G41" s="5">
        <f t="shared" si="0"/>
        <v>0</v>
      </c>
      <c r="H41" s="4"/>
      <c r="I41" s="3"/>
      <c r="J41" s="3"/>
      <c r="K41" s="3"/>
      <c r="L41" s="3"/>
      <c r="M41" s="3"/>
      <c r="N41" s="3"/>
    </row>
    <row r="42" spans="1:14" x14ac:dyDescent="0.35">
      <c r="A42" s="3"/>
      <c r="B42" s="3"/>
      <c r="C42" s="3"/>
      <c r="D42" s="3"/>
      <c r="E42" s="3"/>
      <c r="F42" s="5"/>
      <c r="G42" s="5">
        <f t="shared" si="0"/>
        <v>0</v>
      </c>
      <c r="H42" s="4"/>
      <c r="I42" s="3"/>
      <c r="J42" s="3"/>
      <c r="K42" s="3"/>
      <c r="L42" s="3"/>
      <c r="M42" s="3"/>
      <c r="N42" s="3"/>
    </row>
    <row r="43" spans="1:14" x14ac:dyDescent="0.35">
      <c r="A43" s="3"/>
      <c r="B43" s="3"/>
      <c r="C43" s="3"/>
      <c r="D43" s="3"/>
      <c r="E43" s="3"/>
      <c r="F43" s="5"/>
      <c r="G43" s="5">
        <f t="shared" si="0"/>
        <v>0</v>
      </c>
      <c r="H43" s="4"/>
      <c r="I43" s="3"/>
      <c r="J43" s="3"/>
      <c r="K43" s="3"/>
      <c r="L43" s="3"/>
      <c r="M43" s="3"/>
      <c r="N43" s="3"/>
    </row>
    <row r="44" spans="1:14" x14ac:dyDescent="0.35">
      <c r="A44" s="3"/>
      <c r="B44" s="3"/>
      <c r="C44" s="3"/>
      <c r="D44" s="3"/>
      <c r="E44" s="3"/>
      <c r="F44" s="5"/>
      <c r="G44" s="5">
        <f t="shared" si="0"/>
        <v>0</v>
      </c>
      <c r="H44" s="4"/>
      <c r="I44" s="3"/>
      <c r="J44" s="3"/>
      <c r="K44" s="3"/>
      <c r="L44" s="3"/>
      <c r="M44" s="3"/>
      <c r="N44" s="3"/>
    </row>
    <row r="45" spans="1:14" x14ac:dyDescent="0.35">
      <c r="A45" s="3"/>
      <c r="B45" s="3"/>
      <c r="C45" s="3"/>
      <c r="D45" s="3"/>
      <c r="E45" s="3"/>
      <c r="F45" s="5"/>
      <c r="G45" s="5">
        <f t="shared" si="0"/>
        <v>0</v>
      </c>
      <c r="H45" s="4"/>
      <c r="I45" s="3"/>
      <c r="J45" s="3"/>
      <c r="K45" s="3"/>
      <c r="L45" s="3"/>
      <c r="M45" s="3"/>
      <c r="N45" s="3"/>
    </row>
    <row r="46" spans="1:14" x14ac:dyDescent="0.35">
      <c r="A46" s="3"/>
      <c r="B46" s="3"/>
      <c r="C46" s="3"/>
      <c r="D46" s="3"/>
      <c r="E46" s="3"/>
      <c r="F46" s="5"/>
      <c r="G46" s="5">
        <f t="shared" si="0"/>
        <v>0</v>
      </c>
      <c r="H46" s="4"/>
      <c r="I46" s="3"/>
      <c r="J46" s="3"/>
      <c r="K46" s="3"/>
      <c r="L46" s="3"/>
      <c r="M46" s="3"/>
      <c r="N46" s="3"/>
    </row>
    <row r="47" spans="1:14" x14ac:dyDescent="0.35">
      <c r="A47" s="3"/>
      <c r="B47" s="3"/>
      <c r="C47" s="3"/>
      <c r="D47" s="3"/>
      <c r="E47" s="3"/>
      <c r="F47" s="5"/>
      <c r="G47" s="5">
        <f t="shared" si="0"/>
        <v>0</v>
      </c>
      <c r="H47" s="4"/>
      <c r="I47" s="3"/>
      <c r="J47" s="3"/>
      <c r="K47" s="3"/>
      <c r="L47" s="3"/>
      <c r="M47" s="3"/>
      <c r="N47" s="3"/>
    </row>
    <row r="48" spans="1:14" x14ac:dyDescent="0.35">
      <c r="A48" s="3"/>
      <c r="B48" s="3"/>
      <c r="C48" s="3"/>
      <c r="D48" s="3"/>
      <c r="E48" s="3"/>
      <c r="F48" s="5"/>
      <c r="G48" s="5">
        <f t="shared" si="0"/>
        <v>0</v>
      </c>
      <c r="H48" s="4"/>
      <c r="I48" s="3"/>
      <c r="J48" s="3"/>
      <c r="K48" s="3"/>
      <c r="L48" s="3"/>
      <c r="M48" s="3"/>
      <c r="N48" s="3"/>
    </row>
    <row r="49" spans="1:14" x14ac:dyDescent="0.35">
      <c r="A49" s="3"/>
      <c r="B49" s="3"/>
      <c r="C49" s="3"/>
      <c r="D49" s="3"/>
      <c r="E49" s="3"/>
      <c r="F49" s="5"/>
      <c r="G49" s="5">
        <f t="shared" si="0"/>
        <v>0</v>
      </c>
      <c r="H49" s="4"/>
      <c r="I49" s="3"/>
      <c r="J49" s="3"/>
      <c r="K49" s="3"/>
      <c r="L49" s="3"/>
      <c r="M49" s="3"/>
      <c r="N49" s="3"/>
    </row>
    <row r="50" spans="1:14" x14ac:dyDescent="0.35">
      <c r="A50" s="3"/>
      <c r="B50" s="3"/>
      <c r="C50" s="3"/>
      <c r="D50" s="3"/>
      <c r="E50" s="3"/>
      <c r="F50" s="5"/>
      <c r="G50" s="5">
        <f t="shared" si="0"/>
        <v>0</v>
      </c>
      <c r="H50" s="4"/>
      <c r="I50" s="3"/>
      <c r="J50" s="3"/>
      <c r="K50" s="3"/>
      <c r="L50" s="3"/>
      <c r="M50" s="3"/>
      <c r="N50" s="3"/>
    </row>
    <row r="51" spans="1:14" x14ac:dyDescent="0.35">
      <c r="A51" s="3"/>
      <c r="B51" s="3"/>
      <c r="C51" s="3"/>
      <c r="D51" s="3"/>
      <c r="E51" s="3"/>
      <c r="F51" s="5"/>
      <c r="G51" s="5">
        <f t="shared" si="0"/>
        <v>0</v>
      </c>
      <c r="H51" s="4"/>
      <c r="I51" s="3"/>
      <c r="J51" s="3"/>
      <c r="K51" s="3"/>
      <c r="L51" s="3"/>
      <c r="M51" s="3"/>
      <c r="N51" s="3"/>
    </row>
    <row r="52" spans="1:14" x14ac:dyDescent="0.35">
      <c r="A52" s="3"/>
      <c r="B52" s="3"/>
      <c r="C52" s="3"/>
      <c r="D52" s="3"/>
      <c r="E52" s="3"/>
      <c r="F52" s="5"/>
      <c r="G52" s="5">
        <f t="shared" si="0"/>
        <v>0</v>
      </c>
      <c r="H52" s="4"/>
      <c r="I52" s="3"/>
      <c r="J52" s="3"/>
      <c r="K52" s="3"/>
      <c r="L52" s="3"/>
      <c r="M52" s="3"/>
      <c r="N52" s="3"/>
    </row>
    <row r="53" spans="1:14" x14ac:dyDescent="0.35">
      <c r="A53" s="3"/>
      <c r="B53" s="3"/>
      <c r="C53" s="3"/>
      <c r="D53" s="3"/>
      <c r="E53" s="3"/>
      <c r="F53" s="5"/>
      <c r="G53" s="5">
        <f t="shared" si="0"/>
        <v>0</v>
      </c>
      <c r="H53" s="4"/>
      <c r="I53" s="3"/>
      <c r="J53" s="3"/>
      <c r="K53" s="3"/>
      <c r="L53" s="3"/>
      <c r="M53" s="3"/>
      <c r="N53" s="3"/>
    </row>
    <row r="54" spans="1:14" x14ac:dyDescent="0.35">
      <c r="A54" s="3"/>
      <c r="B54" s="3"/>
      <c r="C54" s="3"/>
      <c r="D54" s="3"/>
      <c r="E54" s="3"/>
      <c r="F54" s="5"/>
      <c r="G54" s="5">
        <f t="shared" si="0"/>
        <v>0</v>
      </c>
      <c r="H54" s="4"/>
      <c r="I54" s="3"/>
      <c r="J54" s="3"/>
      <c r="K54" s="3"/>
      <c r="L54" s="3"/>
      <c r="M54" s="3"/>
      <c r="N54" s="3"/>
    </row>
    <row r="55" spans="1:14" x14ac:dyDescent="0.35">
      <c r="A55" s="3"/>
      <c r="B55" s="3"/>
      <c r="C55" s="3"/>
      <c r="D55" s="3"/>
      <c r="E55" s="3"/>
      <c r="F55" s="5"/>
      <c r="G55" s="5">
        <f t="shared" si="0"/>
        <v>0</v>
      </c>
      <c r="H55" s="4"/>
      <c r="I55" s="3"/>
      <c r="J55" s="3"/>
      <c r="K55" s="3"/>
      <c r="L55" s="3"/>
      <c r="M55" s="3"/>
      <c r="N55" s="3"/>
    </row>
    <row r="56" spans="1:14" x14ac:dyDescent="0.35">
      <c r="A56" s="3"/>
      <c r="B56" s="3"/>
      <c r="C56" s="3"/>
      <c r="D56" s="3"/>
      <c r="E56" s="3"/>
      <c r="F56" s="5"/>
      <c r="G56" s="5">
        <f t="shared" si="0"/>
        <v>0</v>
      </c>
      <c r="H56" s="4"/>
      <c r="I56" s="3"/>
      <c r="J56" s="3"/>
      <c r="K56" s="3"/>
      <c r="L56" s="3"/>
      <c r="M56" s="3"/>
      <c r="N56" s="3"/>
    </row>
  </sheetData>
  <autoFilter ref="A6:N56" xr:uid="{4A1237C3-68E5-4C51-B5A2-04C797B8C888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A02B-F301-486D-997A-9D0DFBFFA77D}">
  <dimension ref="A1:N56"/>
  <sheetViews>
    <sheetView zoomScaleNormal="100" workbookViewId="0">
      <pane xSplit="1" ySplit="6" topLeftCell="B7" activePane="bottomRight" state="frozen"/>
      <selection activeCell="C7" sqref="C7"/>
      <selection pane="topRight" activeCell="C7" sqref="C7"/>
      <selection pane="bottomLeft" activeCell="C7" sqref="C7"/>
      <selection pane="bottomRight" activeCell="A7" sqref="A7:A13"/>
    </sheetView>
  </sheetViews>
  <sheetFormatPr defaultColWidth="13.36328125" defaultRowHeight="14.5" x14ac:dyDescent="0.35"/>
  <cols>
    <col min="1" max="1" width="30.54296875" style="1" bestFit="1" customWidth="1"/>
    <col min="2" max="2" width="11.453125" style="1" bestFit="1" customWidth="1"/>
    <col min="3" max="3" width="20.1796875" style="1" bestFit="1" customWidth="1"/>
    <col min="4" max="4" width="15.08984375" style="1" bestFit="1" customWidth="1"/>
    <col min="5" max="5" width="18.36328125" style="1" bestFit="1" customWidth="1"/>
    <col min="6" max="6" width="31.36328125" style="2" bestFit="1" customWidth="1"/>
    <col min="7" max="7" width="21" style="2" bestFit="1" customWidth="1"/>
    <col min="8" max="8" width="20" style="2" bestFit="1" customWidth="1"/>
    <col min="9" max="9" width="21" style="1" bestFit="1" customWidth="1"/>
    <col min="10" max="10" width="23.453125" style="1" bestFit="1" customWidth="1"/>
    <col min="11" max="11" width="21" style="1" bestFit="1" customWidth="1"/>
    <col min="12" max="12" width="16.36328125" style="1" bestFit="1" customWidth="1"/>
    <col min="13" max="13" width="17.26953125" style="1" bestFit="1" customWidth="1"/>
    <col min="14" max="14" width="19.1796875" style="1" bestFit="1" customWidth="1"/>
    <col min="15" max="16384" width="13.36328125" style="1"/>
  </cols>
  <sheetData>
    <row r="1" spans="1:14" x14ac:dyDescent="0.35">
      <c r="A1" s="7" t="s">
        <v>23</v>
      </c>
    </row>
    <row r="2" spans="1:14" x14ac:dyDescent="0.35">
      <c r="A2" s="1" t="s">
        <v>14</v>
      </c>
      <c r="B2" s="1" t="s">
        <v>22</v>
      </c>
    </row>
    <row r="3" spans="1:14" x14ac:dyDescent="0.35">
      <c r="A3" s="1">
        <f>COUNTA(A7:A1048576)</f>
        <v>0</v>
      </c>
    </row>
    <row r="6" spans="1:14" x14ac:dyDescent="0.35">
      <c r="A6" s="6" t="s">
        <v>13</v>
      </c>
      <c r="B6" s="6" t="s">
        <v>5</v>
      </c>
      <c r="C6" s="6" t="s">
        <v>12</v>
      </c>
      <c r="D6" s="6" t="s">
        <v>4</v>
      </c>
      <c r="E6" s="6" t="s">
        <v>11</v>
      </c>
      <c r="F6" s="6" t="s">
        <v>10</v>
      </c>
      <c r="G6" s="6" t="s">
        <v>9</v>
      </c>
      <c r="H6" s="6" t="s">
        <v>8</v>
      </c>
      <c r="I6" s="6" t="s">
        <v>7</v>
      </c>
      <c r="J6" s="6" t="s">
        <v>3</v>
      </c>
      <c r="K6" s="6" t="s">
        <v>2</v>
      </c>
      <c r="L6" s="6" t="s">
        <v>1</v>
      </c>
      <c r="M6" s="6" t="s">
        <v>0</v>
      </c>
      <c r="N6" s="6" t="s">
        <v>18</v>
      </c>
    </row>
    <row r="7" spans="1:14" x14ac:dyDescent="0.35">
      <c r="A7" s="3"/>
      <c r="B7" s="3"/>
      <c r="C7" s="3"/>
      <c r="D7" s="3"/>
      <c r="E7" s="3"/>
      <c r="F7" s="5"/>
      <c r="G7" s="5">
        <f>IFERROR((F7*1000000*$B$2)/10000000,0)</f>
        <v>0</v>
      </c>
      <c r="H7" s="4"/>
      <c r="I7" s="3"/>
      <c r="J7" s="3"/>
      <c r="K7" s="3"/>
      <c r="L7" s="3"/>
      <c r="M7" s="3"/>
      <c r="N7" s="3"/>
    </row>
    <row r="8" spans="1:14" x14ac:dyDescent="0.35">
      <c r="A8" s="3"/>
      <c r="B8" s="3"/>
      <c r="C8" s="3"/>
      <c r="D8" s="3"/>
      <c r="E8" s="3"/>
      <c r="F8" s="5"/>
      <c r="G8" s="5">
        <f t="shared" ref="G8:G56" si="0">IFERROR((F8*1000000*$B$2)/10000000,0)</f>
        <v>0</v>
      </c>
      <c r="H8" s="4"/>
      <c r="I8" s="3"/>
      <c r="J8" s="3"/>
      <c r="K8" s="3"/>
      <c r="L8" s="3"/>
      <c r="M8" s="3"/>
      <c r="N8" s="3"/>
    </row>
    <row r="9" spans="1:14" x14ac:dyDescent="0.35">
      <c r="A9" s="3"/>
      <c r="B9" s="3"/>
      <c r="C9" s="3"/>
      <c r="D9" s="3"/>
      <c r="E9" s="3"/>
      <c r="F9" s="5"/>
      <c r="G9" s="5">
        <f t="shared" si="0"/>
        <v>0</v>
      </c>
      <c r="H9" s="4"/>
      <c r="I9" s="3"/>
      <c r="J9" s="3"/>
      <c r="K9" s="3"/>
      <c r="L9" s="3"/>
      <c r="M9" s="3"/>
      <c r="N9" s="3"/>
    </row>
    <row r="10" spans="1:14" x14ac:dyDescent="0.35">
      <c r="A10" s="3"/>
      <c r="B10" s="3"/>
      <c r="C10" s="3"/>
      <c r="D10" s="3"/>
      <c r="E10" s="3"/>
      <c r="F10" s="5"/>
      <c r="G10" s="5">
        <f t="shared" si="0"/>
        <v>0</v>
      </c>
      <c r="H10" s="4"/>
      <c r="I10" s="3"/>
      <c r="J10" s="3"/>
      <c r="K10" s="3"/>
      <c r="L10" s="3"/>
      <c r="M10" s="3"/>
      <c r="N10" s="3"/>
    </row>
    <row r="11" spans="1:14" x14ac:dyDescent="0.35">
      <c r="A11" s="3"/>
      <c r="B11" s="3"/>
      <c r="C11" s="3"/>
      <c r="D11" s="3"/>
      <c r="E11" s="3"/>
      <c r="F11" s="5"/>
      <c r="G11" s="5">
        <f t="shared" si="0"/>
        <v>0</v>
      </c>
      <c r="H11" s="4"/>
      <c r="I11" s="3"/>
      <c r="J11" s="3"/>
      <c r="K11" s="3"/>
      <c r="L11" s="3"/>
      <c r="M11" s="3"/>
      <c r="N11" s="3"/>
    </row>
    <row r="12" spans="1:14" x14ac:dyDescent="0.35">
      <c r="A12" s="3"/>
      <c r="B12" s="3"/>
      <c r="C12" s="3"/>
      <c r="D12" s="3"/>
      <c r="E12" s="3"/>
      <c r="F12" s="5"/>
      <c r="G12" s="5">
        <f t="shared" si="0"/>
        <v>0</v>
      </c>
      <c r="H12" s="4"/>
      <c r="I12" s="3"/>
      <c r="J12" s="3"/>
      <c r="K12" s="3"/>
      <c r="L12" s="3"/>
      <c r="M12" s="3"/>
      <c r="N12" s="3"/>
    </row>
    <row r="13" spans="1:14" x14ac:dyDescent="0.35">
      <c r="A13" s="3"/>
      <c r="B13" s="3"/>
      <c r="C13" s="3"/>
      <c r="D13" s="3"/>
      <c r="E13" s="3"/>
      <c r="F13" s="5"/>
      <c r="G13" s="5">
        <f t="shared" si="0"/>
        <v>0</v>
      </c>
      <c r="H13" s="4"/>
      <c r="I13" s="3"/>
      <c r="J13" s="3"/>
      <c r="K13" s="3"/>
      <c r="L13" s="3"/>
      <c r="M13" s="3"/>
      <c r="N13" s="3"/>
    </row>
    <row r="14" spans="1:14" x14ac:dyDescent="0.35">
      <c r="A14" s="3"/>
      <c r="B14" s="3"/>
      <c r="C14" s="3"/>
      <c r="D14" s="3"/>
      <c r="E14" s="3"/>
      <c r="F14" s="5"/>
      <c r="G14" s="5">
        <f t="shared" si="0"/>
        <v>0</v>
      </c>
      <c r="H14" s="4"/>
      <c r="I14" s="3"/>
      <c r="J14" s="3"/>
      <c r="K14" s="3"/>
      <c r="L14" s="3"/>
      <c r="M14" s="3"/>
      <c r="N14" s="3"/>
    </row>
    <row r="15" spans="1:14" x14ac:dyDescent="0.35">
      <c r="A15" s="3"/>
      <c r="B15" s="3"/>
      <c r="C15" s="3"/>
      <c r="D15" s="3"/>
      <c r="E15" s="3"/>
      <c r="F15" s="5"/>
      <c r="G15" s="5">
        <f t="shared" si="0"/>
        <v>0</v>
      </c>
      <c r="H15" s="4"/>
      <c r="I15" s="3"/>
      <c r="J15" s="3"/>
      <c r="K15" s="3"/>
      <c r="L15" s="3"/>
      <c r="M15" s="3"/>
      <c r="N15" s="3"/>
    </row>
    <row r="16" spans="1:14" x14ac:dyDescent="0.35">
      <c r="A16" s="3"/>
      <c r="B16" s="3"/>
      <c r="C16" s="3"/>
      <c r="D16" s="3"/>
      <c r="E16" s="3"/>
      <c r="F16" s="5"/>
      <c r="G16" s="5">
        <f t="shared" si="0"/>
        <v>0</v>
      </c>
      <c r="H16" s="4"/>
      <c r="I16" s="3"/>
      <c r="J16" s="3"/>
      <c r="K16" s="3"/>
      <c r="L16" s="3"/>
      <c r="M16" s="3"/>
      <c r="N16" s="3"/>
    </row>
    <row r="17" spans="1:14" x14ac:dyDescent="0.35">
      <c r="A17" s="3"/>
      <c r="B17" s="3"/>
      <c r="C17" s="3"/>
      <c r="D17" s="3"/>
      <c r="E17" s="3"/>
      <c r="F17" s="5"/>
      <c r="G17" s="5">
        <f t="shared" si="0"/>
        <v>0</v>
      </c>
      <c r="H17" s="4"/>
      <c r="I17" s="3"/>
      <c r="J17" s="3"/>
      <c r="K17" s="3"/>
      <c r="L17" s="3"/>
      <c r="M17" s="3"/>
      <c r="N17" s="3"/>
    </row>
    <row r="18" spans="1:14" x14ac:dyDescent="0.35">
      <c r="A18" s="3"/>
      <c r="B18" s="3"/>
      <c r="C18" s="3"/>
      <c r="D18" s="3"/>
      <c r="E18" s="3"/>
      <c r="F18" s="5"/>
      <c r="G18" s="5">
        <f t="shared" si="0"/>
        <v>0</v>
      </c>
      <c r="H18" s="4"/>
      <c r="I18" s="3"/>
      <c r="J18" s="3"/>
      <c r="K18" s="3"/>
      <c r="L18" s="3"/>
      <c r="M18" s="3"/>
      <c r="N18" s="3"/>
    </row>
    <row r="19" spans="1:14" x14ac:dyDescent="0.35">
      <c r="A19" s="3"/>
      <c r="B19" s="3"/>
      <c r="C19" s="3"/>
      <c r="D19" s="3"/>
      <c r="E19" s="3"/>
      <c r="F19" s="5"/>
      <c r="G19" s="5">
        <f t="shared" si="0"/>
        <v>0</v>
      </c>
      <c r="H19" s="4"/>
      <c r="I19" s="3"/>
      <c r="J19" s="3"/>
      <c r="K19" s="3"/>
      <c r="L19" s="3"/>
      <c r="M19" s="3"/>
      <c r="N19" s="3"/>
    </row>
    <row r="20" spans="1:14" x14ac:dyDescent="0.35">
      <c r="A20" s="3"/>
      <c r="B20" s="3"/>
      <c r="C20" s="3"/>
      <c r="D20" s="3"/>
      <c r="E20" s="3"/>
      <c r="F20" s="5"/>
      <c r="G20" s="5">
        <f t="shared" si="0"/>
        <v>0</v>
      </c>
      <c r="H20" s="4"/>
      <c r="I20" s="3"/>
      <c r="J20" s="3"/>
      <c r="K20" s="3"/>
      <c r="L20" s="3"/>
      <c r="M20" s="3"/>
      <c r="N20" s="3"/>
    </row>
    <row r="21" spans="1:14" x14ac:dyDescent="0.35">
      <c r="A21" s="3"/>
      <c r="B21" s="3"/>
      <c r="C21" s="3"/>
      <c r="D21" s="3"/>
      <c r="E21" s="3"/>
      <c r="F21" s="5"/>
      <c r="G21" s="5">
        <f t="shared" si="0"/>
        <v>0</v>
      </c>
      <c r="H21" s="4"/>
      <c r="I21" s="3"/>
      <c r="J21" s="3"/>
      <c r="K21" s="3"/>
      <c r="L21" s="3"/>
      <c r="M21" s="3"/>
      <c r="N21" s="3"/>
    </row>
    <row r="22" spans="1:14" x14ac:dyDescent="0.35">
      <c r="A22" s="3"/>
      <c r="B22" s="3"/>
      <c r="C22" s="3"/>
      <c r="D22" s="3"/>
      <c r="E22" s="3"/>
      <c r="F22" s="5"/>
      <c r="G22" s="5">
        <f t="shared" si="0"/>
        <v>0</v>
      </c>
      <c r="H22" s="4"/>
      <c r="I22" s="3"/>
      <c r="J22" s="3"/>
      <c r="L22" s="3"/>
      <c r="M22" s="3"/>
      <c r="N22" s="3"/>
    </row>
    <row r="23" spans="1:14" x14ac:dyDescent="0.35">
      <c r="A23" s="3"/>
      <c r="B23" s="3"/>
      <c r="C23" s="3"/>
      <c r="D23" s="3"/>
      <c r="E23" s="3"/>
      <c r="F23" s="5"/>
      <c r="G23" s="5">
        <f t="shared" si="0"/>
        <v>0</v>
      </c>
      <c r="H23" s="4"/>
      <c r="I23" s="3"/>
      <c r="J23" s="3"/>
      <c r="K23" s="3"/>
      <c r="L23" s="3"/>
      <c r="M23" s="3"/>
      <c r="N23" s="3"/>
    </row>
    <row r="24" spans="1:14" x14ac:dyDescent="0.35">
      <c r="A24" s="3"/>
      <c r="B24" s="3"/>
      <c r="C24" s="3"/>
      <c r="D24" s="3"/>
      <c r="E24" s="3"/>
      <c r="F24" s="5"/>
      <c r="G24" s="5">
        <f t="shared" si="0"/>
        <v>0</v>
      </c>
      <c r="H24" s="4"/>
      <c r="I24" s="3"/>
      <c r="J24" s="3"/>
      <c r="K24" s="3"/>
      <c r="L24" s="3"/>
      <c r="M24" s="3"/>
      <c r="N24" s="3"/>
    </row>
    <row r="25" spans="1:14" x14ac:dyDescent="0.35">
      <c r="A25" s="3"/>
      <c r="B25" s="3"/>
      <c r="C25" s="3"/>
      <c r="D25" s="3"/>
      <c r="E25" s="3"/>
      <c r="F25" s="5"/>
      <c r="G25" s="5">
        <f t="shared" si="0"/>
        <v>0</v>
      </c>
      <c r="H25" s="4"/>
      <c r="I25" s="3"/>
      <c r="J25" s="3"/>
      <c r="K25" s="3"/>
      <c r="L25" s="3"/>
      <c r="M25" s="3"/>
      <c r="N25" s="3"/>
    </row>
    <row r="26" spans="1:14" x14ac:dyDescent="0.35">
      <c r="A26" s="3"/>
      <c r="B26" s="3"/>
      <c r="C26" s="3"/>
      <c r="D26" s="3"/>
      <c r="E26" s="3"/>
      <c r="F26" s="5"/>
      <c r="G26" s="5">
        <f t="shared" si="0"/>
        <v>0</v>
      </c>
      <c r="H26" s="4"/>
      <c r="I26" s="3"/>
      <c r="J26" s="3"/>
      <c r="K26" s="3"/>
      <c r="L26" s="3"/>
      <c r="M26" s="3"/>
      <c r="N26" s="3"/>
    </row>
    <row r="27" spans="1:14" x14ac:dyDescent="0.35">
      <c r="A27" s="3"/>
      <c r="B27" s="3"/>
      <c r="C27" s="3"/>
      <c r="D27" s="3"/>
      <c r="E27" s="3"/>
      <c r="F27" s="5"/>
      <c r="G27" s="5">
        <f t="shared" si="0"/>
        <v>0</v>
      </c>
      <c r="H27" s="4"/>
      <c r="I27" s="3"/>
      <c r="J27" s="3"/>
      <c r="K27" s="3"/>
      <c r="L27" s="3"/>
      <c r="M27" s="3"/>
      <c r="N27" s="3"/>
    </row>
    <row r="28" spans="1:14" x14ac:dyDescent="0.35">
      <c r="A28" s="3"/>
      <c r="B28" s="3"/>
      <c r="C28" s="3"/>
      <c r="D28" s="3"/>
      <c r="E28" s="3"/>
      <c r="F28" s="5"/>
      <c r="G28" s="5">
        <f t="shared" si="0"/>
        <v>0</v>
      </c>
      <c r="H28" s="4"/>
      <c r="I28" s="3"/>
      <c r="J28" s="3"/>
      <c r="K28" s="3"/>
      <c r="L28" s="3"/>
      <c r="M28" s="3"/>
      <c r="N28" s="3"/>
    </row>
    <row r="29" spans="1:14" x14ac:dyDescent="0.35">
      <c r="A29" s="3"/>
      <c r="B29" s="3"/>
      <c r="C29" s="3"/>
      <c r="D29" s="3"/>
      <c r="E29" s="3"/>
      <c r="F29" s="5"/>
      <c r="G29" s="5">
        <f t="shared" si="0"/>
        <v>0</v>
      </c>
      <c r="H29" s="4"/>
      <c r="I29" s="3"/>
      <c r="J29" s="3"/>
      <c r="K29" s="3"/>
      <c r="L29" s="3"/>
      <c r="M29" s="3"/>
      <c r="N29" s="3"/>
    </row>
    <row r="30" spans="1:14" x14ac:dyDescent="0.35">
      <c r="A30" s="3"/>
      <c r="B30" s="3"/>
      <c r="C30" s="3"/>
      <c r="D30" s="3"/>
      <c r="E30" s="3"/>
      <c r="F30" s="5"/>
      <c r="G30" s="5">
        <f t="shared" si="0"/>
        <v>0</v>
      </c>
      <c r="H30" s="4"/>
      <c r="I30" s="3"/>
      <c r="J30" s="3"/>
      <c r="K30" s="3"/>
      <c r="L30" s="3"/>
      <c r="M30" s="3"/>
      <c r="N30" s="3"/>
    </row>
    <row r="31" spans="1:14" x14ac:dyDescent="0.35">
      <c r="A31" s="3"/>
      <c r="B31" s="3"/>
      <c r="C31" s="3"/>
      <c r="D31" s="3"/>
      <c r="E31" s="3"/>
      <c r="F31" s="5"/>
      <c r="G31" s="5">
        <f t="shared" si="0"/>
        <v>0</v>
      </c>
      <c r="H31" s="4"/>
      <c r="I31" s="3"/>
      <c r="J31" s="3"/>
      <c r="K31" s="3"/>
      <c r="L31" s="3"/>
      <c r="M31" s="3"/>
      <c r="N31" s="3"/>
    </row>
    <row r="32" spans="1:14" x14ac:dyDescent="0.35">
      <c r="A32" s="3"/>
      <c r="B32" s="3"/>
      <c r="C32" s="3"/>
      <c r="D32" s="3"/>
      <c r="E32" s="3"/>
      <c r="F32" s="5"/>
      <c r="G32" s="5">
        <f t="shared" si="0"/>
        <v>0</v>
      </c>
      <c r="H32" s="4"/>
      <c r="I32" s="3"/>
      <c r="J32" s="3"/>
      <c r="K32" s="3"/>
      <c r="L32" s="3"/>
      <c r="M32" s="3"/>
      <c r="N32" s="3"/>
    </row>
    <row r="33" spans="1:14" x14ac:dyDescent="0.35">
      <c r="A33" s="3"/>
      <c r="B33" s="3"/>
      <c r="C33" s="3"/>
      <c r="D33" s="3"/>
      <c r="E33" s="3"/>
      <c r="F33" s="5"/>
      <c r="G33" s="5">
        <f t="shared" si="0"/>
        <v>0</v>
      </c>
      <c r="H33" s="4"/>
      <c r="I33" s="3"/>
      <c r="J33" s="3"/>
      <c r="K33" s="3"/>
      <c r="L33" s="3"/>
      <c r="M33" s="3"/>
      <c r="N33" s="3"/>
    </row>
    <row r="34" spans="1:14" x14ac:dyDescent="0.35">
      <c r="A34" s="3"/>
      <c r="B34" s="3"/>
      <c r="C34" s="3"/>
      <c r="D34" s="3"/>
      <c r="E34" s="3"/>
      <c r="F34" s="5"/>
      <c r="G34" s="5">
        <f t="shared" si="0"/>
        <v>0</v>
      </c>
      <c r="H34" s="4"/>
      <c r="I34" s="3"/>
      <c r="J34" s="3"/>
      <c r="K34" s="3"/>
      <c r="L34" s="3"/>
      <c r="M34" s="3"/>
      <c r="N34" s="3"/>
    </row>
    <row r="35" spans="1:14" x14ac:dyDescent="0.35">
      <c r="A35" s="3"/>
      <c r="B35" s="3"/>
      <c r="C35" s="3"/>
      <c r="D35" s="3"/>
      <c r="E35" s="3"/>
      <c r="F35" s="5"/>
      <c r="G35" s="5">
        <f t="shared" si="0"/>
        <v>0</v>
      </c>
      <c r="H35" s="4"/>
      <c r="I35" s="3"/>
      <c r="J35" s="3"/>
      <c r="K35" s="3"/>
      <c r="L35" s="3"/>
      <c r="M35" s="3"/>
      <c r="N35" s="3"/>
    </row>
    <row r="36" spans="1:14" x14ac:dyDescent="0.35">
      <c r="A36" s="3"/>
      <c r="B36" s="3"/>
      <c r="C36" s="3"/>
      <c r="D36" s="3"/>
      <c r="E36" s="3"/>
      <c r="F36" s="5"/>
      <c r="G36" s="5">
        <f t="shared" si="0"/>
        <v>0</v>
      </c>
      <c r="H36" s="4"/>
      <c r="I36" s="3"/>
      <c r="J36" s="3"/>
      <c r="K36" s="3"/>
      <c r="L36" s="3"/>
      <c r="M36" s="3"/>
      <c r="N36" s="3"/>
    </row>
    <row r="37" spans="1:14" x14ac:dyDescent="0.35">
      <c r="A37" s="3"/>
      <c r="B37" s="3"/>
      <c r="C37" s="3"/>
      <c r="D37" s="3"/>
      <c r="E37" s="3"/>
      <c r="F37" s="5"/>
      <c r="G37" s="5">
        <f t="shared" si="0"/>
        <v>0</v>
      </c>
      <c r="H37" s="4"/>
      <c r="I37" s="3"/>
      <c r="J37" s="3"/>
      <c r="K37" s="3"/>
      <c r="L37" s="3"/>
      <c r="M37" s="3"/>
      <c r="N37" s="3"/>
    </row>
    <row r="38" spans="1:14" x14ac:dyDescent="0.35">
      <c r="A38" s="3"/>
      <c r="B38" s="3"/>
      <c r="C38" s="3"/>
      <c r="D38" s="3"/>
      <c r="E38" s="3"/>
      <c r="F38" s="5"/>
      <c r="G38" s="5">
        <f t="shared" si="0"/>
        <v>0</v>
      </c>
      <c r="H38" s="4"/>
      <c r="I38" s="3"/>
      <c r="J38" s="3"/>
      <c r="K38" s="3"/>
      <c r="L38" s="3"/>
      <c r="M38" s="3"/>
      <c r="N38" s="3"/>
    </row>
    <row r="39" spans="1:14" x14ac:dyDescent="0.35">
      <c r="A39" s="3"/>
      <c r="B39" s="3"/>
      <c r="C39" s="3"/>
      <c r="D39" s="3"/>
      <c r="E39" s="3"/>
      <c r="F39" s="5"/>
      <c r="G39" s="5">
        <f t="shared" si="0"/>
        <v>0</v>
      </c>
      <c r="H39" s="4"/>
      <c r="I39" s="3"/>
      <c r="J39" s="3"/>
      <c r="K39" s="3"/>
      <c r="L39" s="3"/>
      <c r="M39" s="3"/>
      <c r="N39" s="3"/>
    </row>
    <row r="40" spans="1:14" x14ac:dyDescent="0.35">
      <c r="A40" s="3"/>
      <c r="B40" s="3"/>
      <c r="C40" s="3"/>
      <c r="D40" s="3"/>
      <c r="E40" s="3"/>
      <c r="F40" s="5"/>
      <c r="G40" s="5">
        <f t="shared" si="0"/>
        <v>0</v>
      </c>
      <c r="H40" s="4"/>
      <c r="I40" s="3"/>
      <c r="J40" s="3"/>
      <c r="K40" s="3"/>
      <c r="L40" s="3"/>
      <c r="M40" s="3"/>
      <c r="N40" s="3"/>
    </row>
    <row r="41" spans="1:14" x14ac:dyDescent="0.35">
      <c r="A41" s="3"/>
      <c r="B41" s="3"/>
      <c r="C41" s="3"/>
      <c r="D41" s="3"/>
      <c r="E41" s="3"/>
      <c r="F41" s="5"/>
      <c r="G41" s="5">
        <f t="shared" si="0"/>
        <v>0</v>
      </c>
      <c r="H41" s="4"/>
      <c r="I41" s="3"/>
      <c r="J41" s="3"/>
      <c r="K41" s="3"/>
      <c r="L41" s="3"/>
      <c r="M41" s="3"/>
      <c r="N41" s="3"/>
    </row>
    <row r="42" spans="1:14" x14ac:dyDescent="0.35">
      <c r="A42" s="3"/>
      <c r="B42" s="3"/>
      <c r="C42" s="3"/>
      <c r="D42" s="3"/>
      <c r="E42" s="3"/>
      <c r="F42" s="5"/>
      <c r="G42" s="5">
        <f t="shared" si="0"/>
        <v>0</v>
      </c>
      <c r="H42" s="4"/>
      <c r="I42" s="3"/>
      <c r="J42" s="3"/>
      <c r="K42" s="3"/>
      <c r="L42" s="3"/>
      <c r="M42" s="3"/>
      <c r="N42" s="3"/>
    </row>
    <row r="43" spans="1:14" x14ac:dyDescent="0.35">
      <c r="A43" s="3"/>
      <c r="B43" s="3"/>
      <c r="C43" s="3"/>
      <c r="D43" s="3"/>
      <c r="E43" s="3"/>
      <c r="F43" s="5"/>
      <c r="G43" s="5">
        <f t="shared" si="0"/>
        <v>0</v>
      </c>
      <c r="H43" s="4"/>
      <c r="I43" s="3"/>
      <c r="J43" s="3"/>
      <c r="K43" s="3"/>
      <c r="L43" s="3"/>
      <c r="M43" s="3"/>
      <c r="N43" s="3"/>
    </row>
    <row r="44" spans="1:14" x14ac:dyDescent="0.35">
      <c r="A44" s="3"/>
      <c r="B44" s="3"/>
      <c r="C44" s="3"/>
      <c r="D44" s="3"/>
      <c r="E44" s="3"/>
      <c r="F44" s="5"/>
      <c r="G44" s="5">
        <f t="shared" si="0"/>
        <v>0</v>
      </c>
      <c r="H44" s="4"/>
      <c r="I44" s="3"/>
      <c r="J44" s="3"/>
      <c r="K44" s="3"/>
      <c r="L44" s="3"/>
      <c r="M44" s="3"/>
      <c r="N44" s="3"/>
    </row>
    <row r="45" spans="1:14" x14ac:dyDescent="0.35">
      <c r="A45" s="3"/>
      <c r="B45" s="3"/>
      <c r="C45" s="3"/>
      <c r="D45" s="3"/>
      <c r="E45" s="3"/>
      <c r="F45" s="5"/>
      <c r="G45" s="5">
        <f t="shared" si="0"/>
        <v>0</v>
      </c>
      <c r="H45" s="4"/>
      <c r="I45" s="3"/>
      <c r="J45" s="3"/>
      <c r="K45" s="3"/>
      <c r="L45" s="3"/>
      <c r="M45" s="3"/>
      <c r="N45" s="3"/>
    </row>
    <row r="46" spans="1:14" x14ac:dyDescent="0.35">
      <c r="A46" s="3"/>
      <c r="B46" s="3"/>
      <c r="C46" s="3"/>
      <c r="D46" s="3"/>
      <c r="E46" s="3"/>
      <c r="F46" s="5"/>
      <c r="G46" s="5">
        <f t="shared" si="0"/>
        <v>0</v>
      </c>
      <c r="H46" s="4"/>
      <c r="I46" s="3"/>
      <c r="J46" s="3"/>
      <c r="K46" s="3"/>
      <c r="L46" s="3"/>
      <c r="M46" s="3"/>
      <c r="N46" s="3"/>
    </row>
    <row r="47" spans="1:14" x14ac:dyDescent="0.35">
      <c r="A47" s="3"/>
      <c r="B47" s="3"/>
      <c r="C47" s="3"/>
      <c r="D47" s="3"/>
      <c r="E47" s="3"/>
      <c r="F47" s="5"/>
      <c r="G47" s="5">
        <f t="shared" si="0"/>
        <v>0</v>
      </c>
      <c r="H47" s="4"/>
      <c r="I47" s="3"/>
      <c r="J47" s="3"/>
      <c r="K47" s="3"/>
      <c r="L47" s="3"/>
      <c r="M47" s="3"/>
      <c r="N47" s="3"/>
    </row>
    <row r="48" spans="1:14" x14ac:dyDescent="0.35">
      <c r="A48" s="3"/>
      <c r="B48" s="3"/>
      <c r="C48" s="3"/>
      <c r="D48" s="3"/>
      <c r="E48" s="3"/>
      <c r="F48" s="5"/>
      <c r="G48" s="5">
        <f t="shared" si="0"/>
        <v>0</v>
      </c>
      <c r="H48" s="4"/>
      <c r="I48" s="3"/>
      <c r="J48" s="3"/>
      <c r="K48" s="3"/>
      <c r="L48" s="3"/>
      <c r="M48" s="3"/>
      <c r="N48" s="3"/>
    </row>
    <row r="49" spans="1:14" x14ac:dyDescent="0.35">
      <c r="A49" s="3"/>
      <c r="B49" s="3"/>
      <c r="C49" s="3"/>
      <c r="D49" s="3"/>
      <c r="E49" s="3"/>
      <c r="F49" s="5"/>
      <c r="G49" s="5">
        <f t="shared" si="0"/>
        <v>0</v>
      </c>
      <c r="H49" s="4"/>
      <c r="I49" s="3"/>
      <c r="J49" s="3"/>
      <c r="K49" s="3"/>
      <c r="L49" s="3"/>
      <c r="M49" s="3"/>
      <c r="N49" s="3"/>
    </row>
    <row r="50" spans="1:14" x14ac:dyDescent="0.35">
      <c r="A50" s="3"/>
      <c r="B50" s="3"/>
      <c r="C50" s="3"/>
      <c r="D50" s="3"/>
      <c r="E50" s="3"/>
      <c r="F50" s="5"/>
      <c r="G50" s="5">
        <f t="shared" si="0"/>
        <v>0</v>
      </c>
      <c r="H50" s="4"/>
      <c r="I50" s="3"/>
      <c r="J50" s="3"/>
      <c r="K50" s="3"/>
      <c r="L50" s="3"/>
      <c r="M50" s="3"/>
      <c r="N50" s="3"/>
    </row>
    <row r="51" spans="1:14" x14ac:dyDescent="0.35">
      <c r="A51" s="3"/>
      <c r="B51" s="3"/>
      <c r="C51" s="3"/>
      <c r="D51" s="3"/>
      <c r="E51" s="3"/>
      <c r="F51" s="5"/>
      <c r="G51" s="5">
        <f t="shared" si="0"/>
        <v>0</v>
      </c>
      <c r="H51" s="4"/>
      <c r="I51" s="3"/>
      <c r="J51" s="3"/>
      <c r="K51" s="3"/>
      <c r="L51" s="3"/>
      <c r="M51" s="3"/>
      <c r="N51" s="3"/>
    </row>
    <row r="52" spans="1:14" x14ac:dyDescent="0.35">
      <c r="A52" s="3"/>
      <c r="B52" s="3"/>
      <c r="C52" s="3"/>
      <c r="D52" s="3"/>
      <c r="E52" s="3"/>
      <c r="F52" s="5"/>
      <c r="G52" s="5">
        <f t="shared" si="0"/>
        <v>0</v>
      </c>
      <c r="H52" s="4"/>
      <c r="I52" s="3"/>
      <c r="J52" s="3"/>
      <c r="K52" s="3"/>
      <c r="L52" s="3"/>
      <c r="M52" s="3"/>
      <c r="N52" s="3"/>
    </row>
    <row r="53" spans="1:14" x14ac:dyDescent="0.35">
      <c r="A53" s="3"/>
      <c r="B53" s="3"/>
      <c r="C53" s="3"/>
      <c r="D53" s="3"/>
      <c r="E53" s="3"/>
      <c r="F53" s="5"/>
      <c r="G53" s="5">
        <f t="shared" si="0"/>
        <v>0</v>
      </c>
      <c r="H53" s="4"/>
      <c r="I53" s="3"/>
      <c r="J53" s="3"/>
      <c r="K53" s="3"/>
      <c r="L53" s="3"/>
      <c r="M53" s="3"/>
      <c r="N53" s="3"/>
    </row>
    <row r="54" spans="1:14" x14ac:dyDescent="0.35">
      <c r="A54" s="3"/>
      <c r="B54" s="3"/>
      <c r="C54" s="3"/>
      <c r="D54" s="3"/>
      <c r="E54" s="3"/>
      <c r="F54" s="5"/>
      <c r="G54" s="5">
        <f t="shared" si="0"/>
        <v>0</v>
      </c>
      <c r="H54" s="4"/>
      <c r="I54" s="3"/>
      <c r="J54" s="3"/>
      <c r="K54" s="3"/>
      <c r="L54" s="3"/>
      <c r="M54" s="3"/>
      <c r="N54" s="3"/>
    </row>
    <row r="55" spans="1:14" x14ac:dyDescent="0.35">
      <c r="A55" s="3"/>
      <c r="B55" s="3"/>
      <c r="C55" s="3"/>
      <c r="D55" s="3"/>
      <c r="E55" s="3"/>
      <c r="F55" s="5"/>
      <c r="G55" s="5">
        <f t="shared" si="0"/>
        <v>0</v>
      </c>
      <c r="H55" s="4"/>
      <c r="I55" s="3"/>
      <c r="J55" s="3"/>
      <c r="K55" s="3"/>
      <c r="L55" s="3"/>
      <c r="M55" s="3"/>
      <c r="N55" s="3"/>
    </row>
    <row r="56" spans="1:14" x14ac:dyDescent="0.35">
      <c r="A56" s="3"/>
      <c r="B56" s="3"/>
      <c r="C56" s="3"/>
      <c r="D56" s="3"/>
      <c r="E56" s="3"/>
      <c r="F56" s="5"/>
      <c r="G56" s="5">
        <f t="shared" si="0"/>
        <v>0</v>
      </c>
      <c r="H56" s="4"/>
      <c r="I56" s="3"/>
      <c r="J56" s="3"/>
      <c r="K56" s="3"/>
      <c r="L56" s="3"/>
      <c r="M56" s="3"/>
      <c r="N56" s="3"/>
    </row>
  </sheetData>
  <autoFilter ref="A6:N56" xr:uid="{7B85A02B-F301-486D-997A-9D0DFBFFA77D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49DE-A5CB-45C4-9EB8-3B13712D42B3}">
  <dimension ref="A1:M76"/>
  <sheetViews>
    <sheetView zoomScale="70" zoomScaleNormal="70" workbookViewId="0">
      <selection activeCell="C18" sqref="C18"/>
    </sheetView>
  </sheetViews>
  <sheetFormatPr defaultColWidth="22.6328125" defaultRowHeight="14.5" outlineLevelCol="1" x14ac:dyDescent="0.35"/>
  <cols>
    <col min="1" max="1" width="36" style="9" customWidth="1"/>
    <col min="2" max="2" width="27.6328125" style="9" customWidth="1" outlineLevel="1"/>
    <col min="3" max="3" width="27.6328125" style="9" customWidth="1"/>
    <col min="4" max="4" width="22.6328125" style="9"/>
    <col min="5" max="9" width="22.6328125" style="10"/>
    <col min="10" max="13" width="22.6328125" style="9" customWidth="1" outlineLevel="1"/>
    <col min="14" max="16384" width="22.6328125" style="9"/>
  </cols>
  <sheetData>
    <row r="1" spans="1:13" x14ac:dyDescent="0.35">
      <c r="A1" s="8" t="s">
        <v>15</v>
      </c>
      <c r="C1" s="8">
        <f ca="1">MIN(J7:M76)</f>
        <v>3</v>
      </c>
      <c r="D1" s="9" t="s">
        <v>16</v>
      </c>
      <c r="E1" s="9">
        <f>SUBTOTAL(3,A7:A1048576)</f>
        <v>70</v>
      </c>
      <c r="F1" s="9"/>
      <c r="G1" s="9"/>
      <c r="J1" s="10"/>
    </row>
    <row r="2" spans="1:13" x14ac:dyDescent="0.35">
      <c r="D2" s="11" t="s">
        <v>17</v>
      </c>
      <c r="E2" s="11">
        <f>E1-'Company list 1'!A3-'Company list 2'!A3-'Company list 3'!A3</f>
        <v>0</v>
      </c>
    </row>
    <row r="3" spans="1:13" s="1" customFormat="1" x14ac:dyDescent="0.35"/>
    <row r="4" spans="1:13" s="10" customFormat="1" x14ac:dyDescent="0.35">
      <c r="B4" s="9"/>
      <c r="D4" s="9"/>
    </row>
    <row r="5" spans="1:13" s="10" customFormat="1" x14ac:dyDescent="0.35">
      <c r="B5" s="9" t="str">
        <f>IF(COUNTIF(B7:B1048576,"Error")&gt;0,"Error", "Go")</f>
        <v>Go</v>
      </c>
      <c r="C5" s="9" t="str">
        <f>IF(COUNTIF(C7:C1048576,"Error")&gt;0,"Error", "Go")</f>
        <v>Go</v>
      </c>
      <c r="D5" s="9"/>
      <c r="E5" s="10" t="str">
        <f>IF(COUNTIF(E7:E1048576,"Error")&gt;0,"Error", "Go")</f>
        <v>Go</v>
      </c>
    </row>
    <row r="6" spans="1:13" x14ac:dyDescent="0.35">
      <c r="A6" s="12" t="s">
        <v>6</v>
      </c>
      <c r="B6" s="13" t="s">
        <v>24</v>
      </c>
      <c r="C6" s="13" t="s">
        <v>18</v>
      </c>
      <c r="D6" s="13" t="s">
        <v>19</v>
      </c>
      <c r="E6" s="14" t="s">
        <v>4</v>
      </c>
      <c r="F6" s="14" t="s">
        <v>20</v>
      </c>
      <c r="G6" s="14" t="s">
        <v>20</v>
      </c>
      <c r="H6" s="14" t="s">
        <v>20</v>
      </c>
      <c r="I6" s="14" t="s">
        <v>20</v>
      </c>
      <c r="J6" s="15" t="s">
        <v>21</v>
      </c>
      <c r="K6" s="16"/>
      <c r="L6" s="16"/>
      <c r="M6" s="18"/>
    </row>
    <row r="7" spans="1:13" x14ac:dyDescent="0.35">
      <c r="A7" s="17" t="s">
        <v>25</v>
      </c>
      <c r="B7" s="9" t="str">
        <f>IFERROR(IF(COUNTIF('Company list 1'!$A$7:$A$1048576,A7)+COUNTIF('Company list 2'!$A$7:$A$1048576,A7)+COUNTIF('Company list 3'!$A$7:$A$1048576, A7)=1, "Yes", "Error"),"Error")</f>
        <v>Yes</v>
      </c>
      <c r="D7" s="10">
        <f>_xlfn.LET(_xlpm.L,IFERROR(_xlfn.XLOOKUP(A7,#REF!,#REF!),_xlfn.XLOOKUP(A7,'Company list 1'!A:A,'Company list 1'!C:C,"")),IF(_xlpm.L=0,"",_xlpm.L))</f>
        <v>46160</v>
      </c>
      <c r="E7" s="10" t="str">
        <f>_xlfn.LET(_xlpm.d,IFERROR(_xlfn.XLOOKUP(A7,#REF!,#REF!),_xlfn.XLOOKUP(A7,'Company list 1'!A:A,'Company list 1'!D:D,"")),IF(_xlpm.d=0,"",_xlpm.d))</f>
        <v>Got response</v>
      </c>
      <c r="F7" s="10" t="str">
        <f t="shared" ref="F7:F16" si="0">IF(ISNUMBER($E7),D7+14,"")</f>
        <v/>
      </c>
      <c r="G7" s="10" t="str">
        <f t="shared" ref="G7:I16" si="1">IF(ISNUMBER($E7),F7+14,"")</f>
        <v/>
      </c>
      <c r="H7" s="10" t="str">
        <f t="shared" si="1"/>
        <v/>
      </c>
      <c r="I7" s="10" t="str">
        <f t="shared" si="1"/>
        <v/>
      </c>
      <c r="J7" s="10" t="str">
        <f ca="1">IF(NOT(ISNUMBER($E7)),"",IF($E7&gt;=F7,"Done",F7-TODAY()))</f>
        <v/>
      </c>
      <c r="K7" s="10" t="str">
        <f t="shared" ref="K7:K16" ca="1" si="2">IF(NOT(ISNUMBER($E7)),"",IF($E7&gt;=G7,"Done",G7-TODAY()))</f>
        <v/>
      </c>
      <c r="L7" s="10" t="str">
        <f t="shared" ref="L7:L16" ca="1" si="3">IF(NOT(ISNUMBER($E7)),"",IF($E7&gt;=H7,"Done",H7-TODAY()))</f>
        <v/>
      </c>
      <c r="M7" s="19" t="str">
        <f t="shared" ref="M7:M16" ca="1" si="4">IF(NOT(ISNUMBER($E7)),"",IF($E7&gt;=I7,"Done",I7-TODAY()))</f>
        <v/>
      </c>
    </row>
    <row r="8" spans="1:13" x14ac:dyDescent="0.35">
      <c r="A8" s="17" t="s">
        <v>26</v>
      </c>
      <c r="B8" s="9" t="str">
        <f>IFERROR(IF(COUNTIF('Company list 1'!$A$7:$A$1048576,A8)+COUNTIF('Company list 2'!$A$7:$A$1048576,A8)+COUNTIF('Company list 3'!$A$7:$A$1048576, A8)=1, "Yes", "Error"),"Error")</f>
        <v>Yes</v>
      </c>
      <c r="D8" s="10">
        <f>_xlfn.LET(_xlpm.L,IFERROR(_xlfn.XLOOKUP(A8,#REF!,#REF!),_xlfn.XLOOKUP(A8,'Company list 1'!A:A,'Company list 1'!C:C,"")),IF(_xlpm.L=0,"",_xlpm.L))</f>
        <v>46160</v>
      </c>
      <c r="E8" s="10" t="str">
        <f>_xlfn.LET(_xlpm.d,IFERROR(_xlfn.XLOOKUP(A8,#REF!,#REF!),_xlfn.XLOOKUP(A8,'Company list 1'!A:A,'Company list 1'!D:D,"")),IF(_xlpm.d=0,"",_xlpm.d))</f>
        <v>Got response</v>
      </c>
      <c r="F8" s="10" t="str">
        <f t="shared" si="0"/>
        <v/>
      </c>
      <c r="G8" s="10" t="str">
        <f t="shared" si="1"/>
        <v/>
      </c>
      <c r="H8" s="10" t="str">
        <f t="shared" si="1"/>
        <v/>
      </c>
      <c r="I8" s="10" t="str">
        <f t="shared" si="1"/>
        <v/>
      </c>
      <c r="J8" s="9" t="str">
        <f t="shared" ref="J8:J16" ca="1" si="5">IF(NOT(ISNUMBER($E8)),"",IF($E8&gt;=F8,"Done",F8-TODAY()))</f>
        <v/>
      </c>
      <c r="K8" s="9" t="str">
        <f t="shared" ca="1" si="2"/>
        <v/>
      </c>
      <c r="L8" s="9" t="str">
        <f t="shared" ca="1" si="3"/>
        <v/>
      </c>
      <c r="M8" s="21" t="str">
        <f t="shared" ca="1" si="4"/>
        <v/>
      </c>
    </row>
    <row r="9" spans="1:13" x14ac:dyDescent="0.35">
      <c r="A9" s="17" t="s">
        <v>27</v>
      </c>
      <c r="B9" s="9" t="str">
        <f>IFERROR(IF(COUNTIF('Company list 1'!$A$7:$A$1048576,A9)+COUNTIF('Company list 2'!$A$7:$A$1048576,A9)+COUNTIF('Company list 3'!$A$7:$A$1048576, A9)=1, "Yes", "Error"),"Error")</f>
        <v>Yes</v>
      </c>
      <c r="D9" s="10">
        <f>_xlfn.LET(_xlpm.L,IFERROR(_xlfn.XLOOKUP(A9,#REF!,#REF!),_xlfn.XLOOKUP(A9,'Company list 1'!A:A,'Company list 1'!C:C,"")),IF(_xlpm.L=0,"",_xlpm.L))</f>
        <v>46160</v>
      </c>
      <c r="E9" s="10" t="str">
        <f>_xlfn.LET(_xlpm.d,IFERROR(_xlfn.XLOOKUP(A9,#REF!,#REF!),_xlfn.XLOOKUP(A9,'Company list 1'!A:A,'Company list 1'!D:D,"")),IF(_xlpm.d=0,"",_xlpm.d))</f>
        <v>Got response</v>
      </c>
      <c r="F9" s="10" t="str">
        <f t="shared" si="0"/>
        <v/>
      </c>
      <c r="G9" s="10" t="str">
        <f t="shared" si="1"/>
        <v/>
      </c>
      <c r="H9" s="10" t="str">
        <f t="shared" si="1"/>
        <v/>
      </c>
      <c r="I9" s="10" t="str">
        <f t="shared" si="1"/>
        <v/>
      </c>
      <c r="J9" s="9" t="str">
        <f t="shared" ca="1" si="5"/>
        <v/>
      </c>
      <c r="K9" s="9" t="str">
        <f t="shared" ca="1" si="2"/>
        <v/>
      </c>
      <c r="L9" s="9" t="str">
        <f t="shared" ca="1" si="3"/>
        <v/>
      </c>
      <c r="M9" s="21" t="str">
        <f t="shared" ca="1" si="4"/>
        <v/>
      </c>
    </row>
    <row r="10" spans="1:13" x14ac:dyDescent="0.35">
      <c r="A10" s="17" t="s">
        <v>28</v>
      </c>
      <c r="B10" s="9" t="str">
        <f>IFERROR(IF(COUNTIF('Company list 1'!$A$7:$A$1048576,A10)+COUNTIF('Company list 2'!$A$7:$A$1048576,A10)+COUNTIF('Company list 3'!$A$7:$A$1048576, A10)=1, "Yes", "Error"),"Error")</f>
        <v>Yes</v>
      </c>
      <c r="D10" s="10">
        <f>_xlfn.LET(_xlpm.L,IFERROR(_xlfn.XLOOKUP(A10,#REF!,#REF!),_xlfn.XLOOKUP(A10,'Company list 1'!A:A,'Company list 1'!C:C,"")),IF(_xlpm.L=0,"",_xlpm.L))</f>
        <v>46160</v>
      </c>
      <c r="E10" s="10" t="str">
        <f>_xlfn.LET(_xlpm.d,IFERROR(_xlfn.XLOOKUP(A10,#REF!,#REF!),_xlfn.XLOOKUP(A10,'Company list 1'!A:A,'Company list 1'!D:D,"")),IF(_xlpm.d=0,"",_xlpm.d))</f>
        <v>Got response</v>
      </c>
      <c r="F10" s="10" t="str">
        <f t="shared" si="0"/>
        <v/>
      </c>
      <c r="G10" s="10" t="str">
        <f t="shared" ref="G10" si="6">IF(ISNUMBER($E10),F10+14,"")</f>
        <v/>
      </c>
      <c r="H10" s="10" t="str">
        <f t="shared" si="1"/>
        <v/>
      </c>
      <c r="I10" s="10" t="str">
        <f t="shared" si="1"/>
        <v/>
      </c>
      <c r="J10" s="9" t="str">
        <f t="shared" ca="1" si="5"/>
        <v/>
      </c>
      <c r="K10" s="9" t="str">
        <f t="shared" ca="1" si="2"/>
        <v/>
      </c>
      <c r="L10" s="9" t="str">
        <f t="shared" ca="1" si="3"/>
        <v/>
      </c>
      <c r="M10" s="21" t="str">
        <f t="shared" ca="1" si="4"/>
        <v/>
      </c>
    </row>
    <row r="11" spans="1:13" x14ac:dyDescent="0.35">
      <c r="A11" s="17" t="s">
        <v>29</v>
      </c>
      <c r="B11" s="9" t="str">
        <f>IFERROR(IF(COUNTIF('Company list 1'!$A$7:$A$1048576,A11)+COUNTIF('Company list 2'!$A$7:$A$1048576,A11)+COUNTIF('Company list 3'!$A$7:$A$1048576, A11)=1, "Yes", "Error"),"Error")</f>
        <v>Yes</v>
      </c>
      <c r="D11" s="10">
        <f>_xlfn.LET(_xlpm.L,IFERROR(_xlfn.XLOOKUP(A11,#REF!,#REF!),_xlfn.XLOOKUP(A11,'Company list 1'!A:A,'Company list 1'!C:C,"")),IF(_xlpm.L=0,"",_xlpm.L))</f>
        <v>46160</v>
      </c>
      <c r="E11" s="10">
        <f>_xlfn.LET(_xlpm.d,IFERROR(_xlfn.XLOOKUP(A11,#REF!,#REF!),_xlfn.XLOOKUP(A11,'Company list 1'!A:A,'Company list 1'!D:D,"")),IF(_xlpm.d=0,"",_xlpm.d))</f>
        <v>46188</v>
      </c>
      <c r="F11" s="10">
        <f t="shared" si="0"/>
        <v>46174</v>
      </c>
      <c r="G11" s="10">
        <f t="shared" ref="G11" si="7">IF(ISNUMBER($E11),F11+14,"")</f>
        <v>46188</v>
      </c>
      <c r="H11" s="10">
        <f t="shared" si="1"/>
        <v>46202</v>
      </c>
      <c r="I11" s="10">
        <f t="shared" si="1"/>
        <v>46216</v>
      </c>
      <c r="J11" s="9" t="str">
        <f t="shared" ca="1" si="5"/>
        <v>Done</v>
      </c>
      <c r="K11" s="9" t="str">
        <f t="shared" ca="1" si="2"/>
        <v>Done</v>
      </c>
      <c r="L11" s="9">
        <f t="shared" ca="1" si="3"/>
        <v>10</v>
      </c>
      <c r="M11" s="21">
        <f t="shared" ca="1" si="4"/>
        <v>24</v>
      </c>
    </row>
    <row r="12" spans="1:13" x14ac:dyDescent="0.35">
      <c r="A12" s="17" t="s">
        <v>30</v>
      </c>
      <c r="B12" s="9" t="str">
        <f>IFERROR(IF(COUNTIF('Company list 1'!$A$7:$A$1048576,A12)+COUNTIF('Company list 2'!$A$7:$A$1048576,A12)+COUNTIF('Company list 3'!$A$7:$A$1048576, A12)=1, "Yes", "Error"),"Error")</f>
        <v>Yes</v>
      </c>
      <c r="D12" s="10">
        <f>_xlfn.LET(_xlpm.L,IFERROR(_xlfn.XLOOKUP(A12,#REF!,#REF!),_xlfn.XLOOKUP(A12,'Company list 1'!A:A,'Company list 1'!C:C,"")),IF(_xlpm.L=0,"",_xlpm.L))</f>
        <v>46160</v>
      </c>
      <c r="E12" s="10">
        <f>_xlfn.LET(_xlpm.d,IFERROR(_xlfn.XLOOKUP(A12,#REF!,#REF!),_xlfn.XLOOKUP(A12,'Company list 1'!A:A,'Company list 1'!D:D,"")),IF(_xlpm.d=0,"",_xlpm.d))</f>
        <v>46188</v>
      </c>
      <c r="F12" s="10">
        <f t="shared" si="0"/>
        <v>46174</v>
      </c>
      <c r="G12" s="10">
        <f t="shared" ref="G12" si="8">IF(ISNUMBER($E12),F12+14,"")</f>
        <v>46188</v>
      </c>
      <c r="H12" s="10">
        <f t="shared" si="1"/>
        <v>46202</v>
      </c>
      <c r="I12" s="10">
        <f t="shared" si="1"/>
        <v>46216</v>
      </c>
      <c r="J12" s="9" t="str">
        <f t="shared" ca="1" si="5"/>
        <v>Done</v>
      </c>
      <c r="K12" s="9" t="str">
        <f t="shared" ca="1" si="2"/>
        <v>Done</v>
      </c>
      <c r="L12" s="9">
        <f t="shared" ca="1" si="3"/>
        <v>10</v>
      </c>
      <c r="M12" s="21">
        <f t="shared" ca="1" si="4"/>
        <v>24</v>
      </c>
    </row>
    <row r="13" spans="1:13" x14ac:dyDescent="0.35">
      <c r="A13" s="17" t="s">
        <v>31</v>
      </c>
      <c r="B13" s="9" t="str">
        <f>IFERROR(IF(COUNTIF('Company list 1'!$A$7:$A$1048576,A13)+COUNTIF('Company list 2'!$A$7:$A$1048576,A13)+COUNTIF('Company list 3'!$A$7:$A$1048576, A13)=1, "Yes", "Error"),"Error")</f>
        <v>Yes</v>
      </c>
      <c r="D13" s="10">
        <f>_xlfn.LET(_xlpm.L,IFERROR(_xlfn.XLOOKUP(A13,#REF!,#REF!),_xlfn.XLOOKUP(A13,'Company list 1'!A:A,'Company list 1'!C:C,"")),IF(_xlpm.L=0,"",_xlpm.L))</f>
        <v>46160</v>
      </c>
      <c r="E13" s="10" t="str">
        <f>_xlfn.LET(_xlpm.d,IFERROR(_xlfn.XLOOKUP(A13,#REF!,#REF!),_xlfn.XLOOKUP(A13,'Company list 1'!A:A,'Company list 1'!D:D,"")),IF(_xlpm.d=0,"",_xlpm.d))</f>
        <v>Got response</v>
      </c>
      <c r="F13" s="10" t="str">
        <f t="shared" si="0"/>
        <v/>
      </c>
      <c r="G13" s="10" t="str">
        <f t="shared" ref="G13" si="9">IF(ISNUMBER($E13),F13+14,"")</f>
        <v/>
      </c>
      <c r="H13" s="10" t="str">
        <f t="shared" si="1"/>
        <v/>
      </c>
      <c r="I13" s="10" t="str">
        <f t="shared" si="1"/>
        <v/>
      </c>
      <c r="J13" s="9" t="str">
        <f t="shared" ca="1" si="5"/>
        <v/>
      </c>
      <c r="K13" s="9" t="str">
        <f t="shared" ca="1" si="2"/>
        <v/>
      </c>
      <c r="L13" s="9" t="str">
        <f t="shared" ca="1" si="3"/>
        <v/>
      </c>
      <c r="M13" s="21" t="str">
        <f t="shared" ca="1" si="4"/>
        <v/>
      </c>
    </row>
    <row r="14" spans="1:13" x14ac:dyDescent="0.35">
      <c r="A14" s="17" t="s">
        <v>32</v>
      </c>
      <c r="B14" s="9" t="str">
        <f>IFERROR(IF(COUNTIF('Company list 1'!$A$7:$A$1048576,A14)+COUNTIF('Company list 2'!$A$7:$A$1048576,A14)+COUNTIF('Company list 3'!$A$7:$A$1048576, A14)=1, "Yes", "Error"),"Error")</f>
        <v>Yes</v>
      </c>
      <c r="D14" s="10">
        <f>_xlfn.LET(_xlpm.L,IFERROR(_xlfn.XLOOKUP(A14,#REF!,#REF!),_xlfn.XLOOKUP(A14,'Company list 1'!A:A,'Company list 1'!C:C,"")),IF(_xlpm.L=0,"",_xlpm.L))</f>
        <v>46160</v>
      </c>
      <c r="E14" s="10">
        <f>_xlfn.LET(_xlpm.d,IFERROR(_xlfn.XLOOKUP(A14,#REF!,#REF!),_xlfn.XLOOKUP(A14,'Company list 1'!A:A,'Company list 1'!D:D,"")),IF(_xlpm.d=0,"",_xlpm.d))</f>
        <v>46188</v>
      </c>
      <c r="F14" s="10">
        <f t="shared" si="0"/>
        <v>46174</v>
      </c>
      <c r="G14" s="10">
        <f t="shared" ref="G14" si="10">IF(ISNUMBER($E14),F14+14,"")</f>
        <v>46188</v>
      </c>
      <c r="H14" s="10">
        <f t="shared" si="1"/>
        <v>46202</v>
      </c>
      <c r="I14" s="10">
        <f t="shared" si="1"/>
        <v>46216</v>
      </c>
      <c r="J14" s="9" t="str">
        <f t="shared" ca="1" si="5"/>
        <v>Done</v>
      </c>
      <c r="K14" s="9" t="str">
        <f t="shared" ca="1" si="2"/>
        <v>Done</v>
      </c>
      <c r="L14" s="9">
        <f t="shared" ca="1" si="3"/>
        <v>10</v>
      </c>
      <c r="M14" s="21">
        <f t="shared" ca="1" si="4"/>
        <v>24</v>
      </c>
    </row>
    <row r="15" spans="1:13" x14ac:dyDescent="0.35">
      <c r="A15" s="17" t="s">
        <v>33</v>
      </c>
      <c r="B15" s="9" t="str">
        <f>IFERROR(IF(COUNTIF('Company list 1'!$A$7:$A$1048576,A15)+COUNTIF('Company list 2'!$A$7:$A$1048576,A15)+COUNTIF('Company list 3'!$A$7:$A$1048576, A15)=1, "Yes", "Error"),"Error")</f>
        <v>Yes</v>
      </c>
      <c r="D15" s="10">
        <f>_xlfn.LET(_xlpm.L,IFERROR(_xlfn.XLOOKUP(A15,#REF!,#REF!),_xlfn.XLOOKUP(A15,'Company list 1'!A:A,'Company list 1'!C:C,"")),IF(_xlpm.L=0,"",_xlpm.L))</f>
        <v>46160</v>
      </c>
      <c r="E15" s="10">
        <f>_xlfn.LET(_xlpm.d,IFERROR(_xlfn.XLOOKUP(A15,#REF!,#REF!),_xlfn.XLOOKUP(A15,'Company list 1'!A:A,'Company list 1'!D:D,"")),IF(_xlpm.d=0,"",_xlpm.d))</f>
        <v>46188</v>
      </c>
      <c r="F15" s="10">
        <f t="shared" si="0"/>
        <v>46174</v>
      </c>
      <c r="G15" s="10">
        <f t="shared" ref="G15" si="11">IF(ISNUMBER($E15),F15+14,"")</f>
        <v>46188</v>
      </c>
      <c r="H15" s="10">
        <f t="shared" si="1"/>
        <v>46202</v>
      </c>
      <c r="I15" s="10">
        <f t="shared" si="1"/>
        <v>46216</v>
      </c>
      <c r="J15" s="9" t="str">
        <f t="shared" ca="1" si="5"/>
        <v>Done</v>
      </c>
      <c r="K15" s="9" t="str">
        <f t="shared" ca="1" si="2"/>
        <v>Done</v>
      </c>
      <c r="L15" s="9">
        <f t="shared" ca="1" si="3"/>
        <v>10</v>
      </c>
      <c r="M15" s="21">
        <f t="shared" ca="1" si="4"/>
        <v>24</v>
      </c>
    </row>
    <row r="16" spans="1:13" x14ac:dyDescent="0.35">
      <c r="A16" s="17" t="s">
        <v>34</v>
      </c>
      <c r="B16" s="9" t="str">
        <f>IFERROR(IF(COUNTIF('Company list 1'!$A$7:$A$1048576,A16)+COUNTIF('Company list 2'!$A$7:$A$1048576,A16)+COUNTIF('Company list 3'!$A$7:$A$1048576, A16)=1, "Yes", "Error"),"Error")</f>
        <v>Yes</v>
      </c>
      <c r="D16" s="10">
        <f>_xlfn.LET(_xlpm.L,IFERROR(_xlfn.XLOOKUP(A16,#REF!,#REF!),_xlfn.XLOOKUP(A16,'Company list 1'!A:A,'Company list 1'!C:C,"")),IF(_xlpm.L=0,"",_xlpm.L))</f>
        <v>46160</v>
      </c>
      <c r="E16" s="10" t="str">
        <f>_xlfn.LET(_xlpm.d,IFERROR(_xlfn.XLOOKUP(A16,#REF!,#REF!),_xlfn.XLOOKUP(A16,'Company list 1'!A:A,'Company list 1'!D:D,"")),IF(_xlpm.d=0,"",_xlpm.d))</f>
        <v>Got response</v>
      </c>
      <c r="F16" s="10" t="str">
        <f t="shared" si="0"/>
        <v/>
      </c>
      <c r="G16" s="10" t="str">
        <f t="shared" ref="G16" si="12">IF(ISNUMBER($E16),F16+14,"")</f>
        <v/>
      </c>
      <c r="H16" s="10" t="str">
        <f t="shared" si="1"/>
        <v/>
      </c>
      <c r="I16" s="10" t="str">
        <f t="shared" si="1"/>
        <v/>
      </c>
      <c r="J16" s="9" t="str">
        <f t="shared" ca="1" si="5"/>
        <v/>
      </c>
      <c r="K16" s="9" t="str">
        <f t="shared" ca="1" si="2"/>
        <v/>
      </c>
      <c r="L16" s="9" t="str">
        <f t="shared" ca="1" si="3"/>
        <v/>
      </c>
      <c r="M16" s="21" t="str">
        <f t="shared" ca="1" si="4"/>
        <v/>
      </c>
    </row>
    <row r="17" spans="1:13" x14ac:dyDescent="0.35">
      <c r="A17" s="17" t="s">
        <v>108</v>
      </c>
      <c r="B17" s="9" t="str">
        <f>IFERROR(IF(COUNTIF('Company list 1'!$A$7:$A$1048576,A17)+COUNTIF('Company list 2'!$A$7:$A$1048576,A17)+COUNTIF('Company list 3'!$A$7:$A$1048576, A17)=1, "Yes", "Error"),"Error")</f>
        <v>Yes</v>
      </c>
      <c r="D17" s="10">
        <f>_xlfn.LET(_xlpm.L,IFERROR(_xlfn.XLOOKUP(A17,#REF!,#REF!),_xlfn.XLOOKUP(A17,'Company list 1'!A:A,'Company list 1'!C:C,"")),IF(_xlpm.L=0,"",_xlpm.L))</f>
        <v>46160</v>
      </c>
      <c r="E17" s="10" t="str">
        <f>_xlfn.LET(_xlpm.d,IFERROR(_xlfn.XLOOKUP(A17,#REF!,#REF!),_xlfn.XLOOKUP(A17,'Company list 1'!A:A,'Company list 1'!D:D,"")),IF(_xlpm.d=0,"",_xlpm.d))</f>
        <v>Got response</v>
      </c>
      <c r="F17" s="10" t="str">
        <f t="shared" ref="F17:F56" si="13">IF(ISNUMBER($E17),D17+14,"")</f>
        <v/>
      </c>
      <c r="G17" s="10" t="str">
        <f t="shared" ref="G17:G56" si="14">IF(ISNUMBER($E17),F17+14,"")</f>
        <v/>
      </c>
      <c r="H17" s="10" t="str">
        <f t="shared" ref="H17:H56" si="15">IF(ISNUMBER($E17),G17+14,"")</f>
        <v/>
      </c>
      <c r="I17" s="10" t="str">
        <f t="shared" ref="I17:I56" si="16">IF(ISNUMBER($E17),H17+14,"")</f>
        <v/>
      </c>
      <c r="J17" s="9" t="str">
        <f t="shared" ref="J17:J56" ca="1" si="17">IF(NOT(ISNUMBER($E17)),"",IF($E17&gt;=F17,"Done",F17-TODAY()))</f>
        <v/>
      </c>
      <c r="K17" s="9" t="str">
        <f t="shared" ref="K17:K56" ca="1" si="18">IF(NOT(ISNUMBER($E17)),"",IF($E17&gt;=G17,"Done",G17-TODAY()))</f>
        <v/>
      </c>
      <c r="L17" s="9" t="str">
        <f t="shared" ref="L17:L56" ca="1" si="19">IF(NOT(ISNUMBER($E17)),"",IF($E17&gt;=H17,"Done",H17-TODAY()))</f>
        <v/>
      </c>
      <c r="M17" s="21" t="str">
        <f t="shared" ref="M17:M56" ca="1" si="20">IF(NOT(ISNUMBER($E17)),"",IF($E17&gt;=I17,"Done",I17-TODAY()))</f>
        <v/>
      </c>
    </row>
    <row r="18" spans="1:13" x14ac:dyDescent="0.35">
      <c r="A18" s="17" t="s">
        <v>111</v>
      </c>
      <c r="B18" s="9" t="str">
        <f>IFERROR(IF(COUNTIF('Company list 1'!$A$7:$A$1048576,A18)+COUNTIF('Company list 2'!$A$7:$A$1048576,A18)+COUNTIF('Company list 3'!$A$7:$A$1048576, A18)=1, "Yes", "Error"),"Error")</f>
        <v>Yes</v>
      </c>
      <c r="D18" s="10" t="str">
        <f>_xlfn.LET(_xlpm.L,IFERROR(_xlfn.XLOOKUP(A18,#REF!,#REF!),_xlfn.XLOOKUP(A18,'Company list 1'!A:A,'Company list 1'!C:C,"")),IF(_xlpm.L=0,"",_xlpm.L))</f>
        <v>Priya Mam reach out</v>
      </c>
      <c r="E18" s="10" t="str">
        <f>_xlfn.LET(_xlpm.d,IFERROR(_xlfn.XLOOKUP(A18,#REF!,#REF!),_xlfn.XLOOKUP(A18,'Company list 1'!A:A,'Company list 1'!D:D,"")),IF(_xlpm.d=0,"",_xlpm.d))</f>
        <v>Priya Mam reach out</v>
      </c>
      <c r="F18" s="10" t="str">
        <f t="shared" si="13"/>
        <v/>
      </c>
      <c r="G18" s="10" t="str">
        <f t="shared" si="14"/>
        <v/>
      </c>
      <c r="H18" s="10" t="str">
        <f t="shared" si="15"/>
        <v/>
      </c>
      <c r="I18" s="10" t="str">
        <f t="shared" si="16"/>
        <v/>
      </c>
      <c r="J18" s="9" t="str">
        <f t="shared" ca="1" si="17"/>
        <v/>
      </c>
      <c r="K18" s="9" t="str">
        <f t="shared" ca="1" si="18"/>
        <v/>
      </c>
      <c r="L18" s="9" t="str">
        <f t="shared" ca="1" si="19"/>
        <v/>
      </c>
      <c r="M18" s="21" t="str">
        <f t="shared" ca="1" si="20"/>
        <v/>
      </c>
    </row>
    <row r="19" spans="1:13" x14ac:dyDescent="0.35">
      <c r="A19" s="17" t="s">
        <v>119</v>
      </c>
      <c r="B19" s="9" t="str">
        <f>IFERROR(IF(COUNTIF('Company list 1'!$A$7:$A$1048576,A19)+COUNTIF('Company list 2'!$A$7:$A$1048576,A19)+COUNTIF('Company list 3'!$A$7:$A$1048576, A19)=1, "Yes", "Error"),"Error")</f>
        <v>Yes</v>
      </c>
      <c r="D19" s="10">
        <f>_xlfn.LET(_xlpm.L,IFERROR(_xlfn.XLOOKUP(A19,#REF!,#REF!),_xlfn.XLOOKUP(A19,'Company list 1'!A:A,'Company list 1'!C:C,"")),IF(_xlpm.L=0,"",_xlpm.L))</f>
        <v>46160</v>
      </c>
      <c r="E19" s="10">
        <f>_xlfn.LET(_xlpm.d,IFERROR(_xlfn.XLOOKUP(A19,#REF!,#REF!),_xlfn.XLOOKUP(A19,'Company list 1'!A:A,'Company list 1'!D:D,"")),IF(_xlpm.d=0,"",_xlpm.d))</f>
        <v>46188</v>
      </c>
      <c r="F19" s="10">
        <f t="shared" si="13"/>
        <v>46174</v>
      </c>
      <c r="G19" s="10">
        <f t="shared" si="14"/>
        <v>46188</v>
      </c>
      <c r="H19" s="10">
        <f t="shared" si="15"/>
        <v>46202</v>
      </c>
      <c r="I19" s="10">
        <f t="shared" si="16"/>
        <v>46216</v>
      </c>
      <c r="J19" s="9" t="str">
        <f t="shared" ca="1" si="17"/>
        <v>Done</v>
      </c>
      <c r="K19" s="9" t="str">
        <f t="shared" ca="1" si="18"/>
        <v>Done</v>
      </c>
      <c r="L19" s="9">
        <f t="shared" ca="1" si="19"/>
        <v>10</v>
      </c>
      <c r="M19" s="21">
        <f t="shared" ca="1" si="20"/>
        <v>24</v>
      </c>
    </row>
    <row r="20" spans="1:13" x14ac:dyDescent="0.35">
      <c r="A20" s="17" t="s">
        <v>121</v>
      </c>
      <c r="B20" s="9" t="str">
        <f>IFERROR(IF(COUNTIF('Company list 1'!$A$7:$A$1048576,A20)+COUNTIF('Company list 2'!$A$7:$A$1048576,A20)+COUNTIF('Company list 3'!$A$7:$A$1048576, A20)=1, "Yes", "Error"),"Error")</f>
        <v>Yes</v>
      </c>
      <c r="D20" s="10" t="str">
        <f>_xlfn.LET(_xlpm.L,IFERROR(_xlfn.XLOOKUP(A20,#REF!,#REF!),_xlfn.XLOOKUP(A20,'Company list 1'!A:A,'Company list 1'!C:C,"")),IF(_xlpm.L=0,"",_xlpm.L))</f>
        <v>Priya Mam reach out</v>
      </c>
      <c r="E20" s="10" t="str">
        <f>_xlfn.LET(_xlpm.d,IFERROR(_xlfn.XLOOKUP(A20,#REF!,#REF!),_xlfn.XLOOKUP(A20,'Company list 1'!A:A,'Company list 1'!D:D,"")),IF(_xlpm.d=0,"",_xlpm.d))</f>
        <v>Priya Mam reach out</v>
      </c>
      <c r="F20" s="10" t="str">
        <f t="shared" si="13"/>
        <v/>
      </c>
      <c r="G20" s="10" t="str">
        <f t="shared" si="14"/>
        <v/>
      </c>
      <c r="H20" s="10" t="str">
        <f t="shared" si="15"/>
        <v/>
      </c>
      <c r="I20" s="10" t="str">
        <f t="shared" si="16"/>
        <v/>
      </c>
      <c r="J20" s="9" t="str">
        <f t="shared" ca="1" si="17"/>
        <v/>
      </c>
      <c r="K20" s="9" t="str">
        <f t="shared" ca="1" si="18"/>
        <v/>
      </c>
      <c r="L20" s="9" t="str">
        <f t="shared" ca="1" si="19"/>
        <v/>
      </c>
      <c r="M20" s="21" t="str">
        <f t="shared" ca="1" si="20"/>
        <v/>
      </c>
    </row>
    <row r="21" spans="1:13" x14ac:dyDescent="0.35">
      <c r="A21" s="17" t="s">
        <v>125</v>
      </c>
      <c r="B21" s="9" t="str">
        <f>IFERROR(IF(COUNTIF('Company list 1'!$A$7:$A$1048576,A21)+COUNTIF('Company list 2'!$A$7:$A$1048576,A21)+COUNTIF('Company list 3'!$A$7:$A$1048576, A21)=1, "Yes", "Error"),"Error")</f>
        <v>Yes</v>
      </c>
      <c r="D21" s="10" t="str">
        <f>_xlfn.LET(_xlpm.L,IFERROR(_xlfn.XLOOKUP(A21,#REF!,#REF!),_xlfn.XLOOKUP(A21,'Company list 1'!A:A,'Company list 1'!C:C,"")),IF(_xlpm.L=0,"",_xlpm.L))</f>
        <v>Priya Mam reach out</v>
      </c>
      <c r="E21" s="10" t="str">
        <f>_xlfn.LET(_xlpm.d,IFERROR(_xlfn.XLOOKUP(A21,#REF!,#REF!),_xlfn.XLOOKUP(A21,'Company list 1'!A:A,'Company list 1'!D:D,"")),IF(_xlpm.d=0,"",_xlpm.d))</f>
        <v>Priya Mam reach out</v>
      </c>
      <c r="F21" s="10" t="str">
        <f t="shared" si="13"/>
        <v/>
      </c>
      <c r="G21" s="10" t="str">
        <f t="shared" si="14"/>
        <v/>
      </c>
      <c r="H21" s="10" t="str">
        <f t="shared" si="15"/>
        <v/>
      </c>
      <c r="I21" s="10" t="str">
        <f t="shared" si="16"/>
        <v/>
      </c>
      <c r="J21" s="9" t="str">
        <f t="shared" ca="1" si="17"/>
        <v/>
      </c>
      <c r="K21" s="9" t="str">
        <f t="shared" ca="1" si="18"/>
        <v/>
      </c>
      <c r="L21" s="9" t="str">
        <f t="shared" ca="1" si="19"/>
        <v/>
      </c>
      <c r="M21" s="21" t="str">
        <f t="shared" ca="1" si="20"/>
        <v/>
      </c>
    </row>
    <row r="22" spans="1:13" x14ac:dyDescent="0.35">
      <c r="A22" s="17" t="s">
        <v>140</v>
      </c>
      <c r="B22" s="9" t="str">
        <f>IFERROR(IF(COUNTIF('Company list 1'!$A$7:$A$1048576,A22)+COUNTIF('Company list 2'!$A$7:$A$1048576,A22)+COUNTIF('Company list 3'!$A$7:$A$1048576, A22)=1, "Yes", "Error"),"Error")</f>
        <v>Yes</v>
      </c>
      <c r="D22" s="10">
        <f>_xlfn.LET(_xlpm.L,IFERROR(_xlfn.XLOOKUP(A22,#REF!,#REF!),_xlfn.XLOOKUP(A22,'Company list 1'!A:A,'Company list 1'!C:C,"")),IF(_xlpm.L=0,"",_xlpm.L))</f>
        <v>46163</v>
      </c>
      <c r="E22" s="10" t="str">
        <f>_xlfn.LET(_xlpm.d,IFERROR(_xlfn.XLOOKUP(A22,#REF!,#REF!),_xlfn.XLOOKUP(A22,'Company list 1'!A:A,'Company list 1'!D:D,"")),IF(_xlpm.d=0,"",_xlpm.d))</f>
        <v>Got response</v>
      </c>
      <c r="F22" s="10" t="str">
        <f t="shared" si="13"/>
        <v/>
      </c>
      <c r="G22" s="10" t="str">
        <f t="shared" si="14"/>
        <v/>
      </c>
      <c r="H22" s="10" t="str">
        <f t="shared" si="15"/>
        <v/>
      </c>
      <c r="I22" s="10" t="str">
        <f t="shared" si="16"/>
        <v/>
      </c>
      <c r="J22" s="9" t="str">
        <f t="shared" ca="1" si="17"/>
        <v/>
      </c>
      <c r="K22" s="9" t="str">
        <f t="shared" ca="1" si="18"/>
        <v/>
      </c>
      <c r="L22" s="9" t="str">
        <f t="shared" ca="1" si="19"/>
        <v/>
      </c>
      <c r="M22" s="21" t="str">
        <f t="shared" ca="1" si="20"/>
        <v/>
      </c>
    </row>
    <row r="23" spans="1:13" x14ac:dyDescent="0.35">
      <c r="A23" s="17" t="s">
        <v>148</v>
      </c>
      <c r="B23" s="9" t="str">
        <f>IFERROR(IF(COUNTIF('Company list 1'!$A$7:$A$1048576,A23)+COUNTIF('Company list 2'!$A$7:$A$1048576,A23)+COUNTIF('Company list 3'!$A$7:$A$1048576, A23)=1, "Yes", "Error"),"Error")</f>
        <v>Yes</v>
      </c>
      <c r="D23" s="10">
        <f>_xlfn.LET(_xlpm.L,IFERROR(_xlfn.XLOOKUP(A23,#REF!,#REF!),_xlfn.XLOOKUP(A23,'Company list 1'!A:A,'Company list 1'!C:C,"")),IF(_xlpm.L=0,"",_xlpm.L))</f>
        <v>46163</v>
      </c>
      <c r="E23" s="10">
        <f>_xlfn.LET(_xlpm.d,IFERROR(_xlfn.XLOOKUP(A23,#REF!,#REF!),_xlfn.XLOOKUP(A23,'Company list 1'!A:A,'Company list 1'!D:D,"")),IF(_xlpm.d=0,"",_xlpm.d))</f>
        <v>46191</v>
      </c>
      <c r="F23" s="10">
        <f t="shared" si="13"/>
        <v>46177</v>
      </c>
      <c r="G23" s="10">
        <f t="shared" si="14"/>
        <v>46191</v>
      </c>
      <c r="H23" s="10">
        <f t="shared" si="15"/>
        <v>46205</v>
      </c>
      <c r="I23" s="10">
        <f t="shared" si="16"/>
        <v>46219</v>
      </c>
      <c r="J23" s="9" t="str">
        <f t="shared" ca="1" si="17"/>
        <v>Done</v>
      </c>
      <c r="K23" s="9" t="str">
        <f t="shared" ca="1" si="18"/>
        <v>Done</v>
      </c>
      <c r="L23" s="9">
        <f t="shared" ca="1" si="19"/>
        <v>13</v>
      </c>
      <c r="M23" s="21">
        <f t="shared" ca="1" si="20"/>
        <v>27</v>
      </c>
    </row>
    <row r="24" spans="1:13" x14ac:dyDescent="0.35">
      <c r="A24" s="17" t="s">
        <v>151</v>
      </c>
      <c r="B24" s="9" t="str">
        <f>IFERROR(IF(COUNTIF('Company list 1'!$A$7:$A$1048576,A24)+COUNTIF('Company list 2'!$A$7:$A$1048576,A24)+COUNTIF('Company list 3'!$A$7:$A$1048576, A24)=1, "Yes", "Error"),"Error")</f>
        <v>Yes</v>
      </c>
      <c r="D24" s="10" t="str">
        <f>_xlfn.LET(_xlpm.L,IFERROR(_xlfn.XLOOKUP(A24,#REF!,#REF!),_xlfn.XLOOKUP(A24,'Company list 1'!A:A,'Company list 1'!C:C,"")),IF(_xlpm.L=0,"",_xlpm.L))</f>
        <v>Bounced</v>
      </c>
      <c r="E24" s="10" t="str">
        <f>_xlfn.LET(_xlpm.d,IFERROR(_xlfn.XLOOKUP(A24,#REF!,#REF!),_xlfn.XLOOKUP(A24,'Company list 1'!A:A,'Company list 1'!D:D,"")),IF(_xlpm.d=0,"",_xlpm.d))</f>
        <v>Bounced</v>
      </c>
      <c r="F24" s="10" t="str">
        <f t="shared" si="13"/>
        <v/>
      </c>
      <c r="G24" s="10" t="str">
        <f t="shared" si="14"/>
        <v/>
      </c>
      <c r="H24" s="10" t="str">
        <f t="shared" si="15"/>
        <v/>
      </c>
      <c r="I24" s="10" t="str">
        <f t="shared" si="16"/>
        <v/>
      </c>
      <c r="J24" s="9" t="str">
        <f t="shared" ca="1" si="17"/>
        <v/>
      </c>
      <c r="K24" s="9" t="str">
        <f t="shared" ca="1" si="18"/>
        <v/>
      </c>
      <c r="L24" s="9" t="str">
        <f t="shared" ca="1" si="19"/>
        <v/>
      </c>
      <c r="M24" s="21" t="str">
        <f t="shared" ca="1" si="20"/>
        <v/>
      </c>
    </row>
    <row r="25" spans="1:13" x14ac:dyDescent="0.35">
      <c r="A25" s="17" t="s">
        <v>156</v>
      </c>
      <c r="B25" s="9" t="str">
        <f>IFERROR(IF(COUNTIF('Company list 1'!$A$7:$A$1048576,A25)+COUNTIF('Company list 2'!$A$7:$A$1048576,A25)+COUNTIF('Company list 3'!$A$7:$A$1048576, A25)=1, "Yes", "Error"),"Error")</f>
        <v>Yes</v>
      </c>
      <c r="D25" s="10">
        <f>_xlfn.LET(_xlpm.L,IFERROR(_xlfn.XLOOKUP(A25,#REF!,#REF!),_xlfn.XLOOKUP(A25,'Company list 1'!A:A,'Company list 1'!C:C,"")),IF(_xlpm.L=0,"",_xlpm.L))</f>
        <v>46163</v>
      </c>
      <c r="E25" s="10" t="str">
        <f>_xlfn.LET(_xlpm.d,IFERROR(_xlfn.XLOOKUP(A25,#REF!,#REF!),_xlfn.XLOOKUP(A25,'Company list 1'!A:A,'Company list 1'!D:D,"")),IF(_xlpm.d=0,"",_xlpm.d))</f>
        <v>Got response</v>
      </c>
      <c r="F25" s="10" t="str">
        <f t="shared" si="13"/>
        <v/>
      </c>
      <c r="G25" s="10" t="str">
        <f t="shared" si="14"/>
        <v/>
      </c>
      <c r="H25" s="10" t="str">
        <f t="shared" si="15"/>
        <v/>
      </c>
      <c r="I25" s="10" t="str">
        <f t="shared" si="16"/>
        <v/>
      </c>
      <c r="J25" s="9" t="str">
        <f t="shared" ca="1" si="17"/>
        <v/>
      </c>
      <c r="K25" s="9" t="str">
        <f t="shared" ca="1" si="18"/>
        <v/>
      </c>
      <c r="L25" s="9" t="str">
        <f t="shared" ca="1" si="19"/>
        <v/>
      </c>
      <c r="M25" s="21" t="str">
        <f t="shared" ca="1" si="20"/>
        <v/>
      </c>
    </row>
    <row r="26" spans="1:13" x14ac:dyDescent="0.35">
      <c r="A26" s="17" t="s">
        <v>161</v>
      </c>
      <c r="B26" s="9" t="str">
        <f>IFERROR(IF(COUNTIF('Company list 1'!$A$7:$A$1048576,A26)+COUNTIF('Company list 2'!$A$7:$A$1048576,A26)+COUNTIF('Company list 3'!$A$7:$A$1048576, A26)=1, "Yes", "Error"),"Error")</f>
        <v>Yes</v>
      </c>
      <c r="D26" s="10">
        <f>_xlfn.LET(_xlpm.L,IFERROR(_xlfn.XLOOKUP(A26,#REF!,#REF!),_xlfn.XLOOKUP(A26,'Company list 1'!A:A,'Company list 1'!C:C,"")),IF(_xlpm.L=0,"",_xlpm.L))</f>
        <v>46163</v>
      </c>
      <c r="E26" s="10">
        <f>_xlfn.LET(_xlpm.d,IFERROR(_xlfn.XLOOKUP(A26,#REF!,#REF!),_xlfn.XLOOKUP(A26,'Company list 1'!A:A,'Company list 1'!D:D,"")),IF(_xlpm.d=0,"",_xlpm.d))</f>
        <v>46191</v>
      </c>
      <c r="F26" s="10">
        <f t="shared" si="13"/>
        <v>46177</v>
      </c>
      <c r="G26" s="10">
        <f t="shared" si="14"/>
        <v>46191</v>
      </c>
      <c r="H26" s="10">
        <f t="shared" si="15"/>
        <v>46205</v>
      </c>
      <c r="I26" s="10">
        <f t="shared" si="16"/>
        <v>46219</v>
      </c>
      <c r="J26" s="9" t="str">
        <f t="shared" ca="1" si="17"/>
        <v>Done</v>
      </c>
      <c r="K26" s="9" t="str">
        <f t="shared" ca="1" si="18"/>
        <v>Done</v>
      </c>
      <c r="L26" s="9">
        <f t="shared" ca="1" si="19"/>
        <v>13</v>
      </c>
      <c r="M26" s="21">
        <f t="shared" ca="1" si="20"/>
        <v>27</v>
      </c>
    </row>
    <row r="27" spans="1:13" x14ac:dyDescent="0.35">
      <c r="A27" s="17" t="s">
        <v>165</v>
      </c>
      <c r="B27" s="9" t="str">
        <f>IFERROR(IF(COUNTIF('Company list 1'!$A$7:$A$1048576,A27)+COUNTIF('Company list 2'!$A$7:$A$1048576,A27)+COUNTIF('Company list 3'!$A$7:$A$1048576, A27)=1, "Yes", "Error"),"Error")</f>
        <v>Yes</v>
      </c>
      <c r="D27" s="10">
        <f>_xlfn.LET(_xlpm.L,IFERROR(_xlfn.XLOOKUP(A27,#REF!,#REF!),_xlfn.XLOOKUP(A27,'Company list 1'!A:A,'Company list 1'!C:C,"")),IF(_xlpm.L=0,"",_xlpm.L))</f>
        <v>46163</v>
      </c>
      <c r="E27" s="10">
        <f>_xlfn.LET(_xlpm.d,IFERROR(_xlfn.XLOOKUP(A27,#REF!,#REF!),_xlfn.XLOOKUP(A27,'Company list 1'!A:A,'Company list 1'!D:D,"")),IF(_xlpm.d=0,"",_xlpm.d))</f>
        <v>46191</v>
      </c>
      <c r="F27" s="10">
        <f t="shared" si="13"/>
        <v>46177</v>
      </c>
      <c r="G27" s="10">
        <f t="shared" si="14"/>
        <v>46191</v>
      </c>
      <c r="H27" s="10">
        <f t="shared" si="15"/>
        <v>46205</v>
      </c>
      <c r="I27" s="10">
        <f t="shared" si="16"/>
        <v>46219</v>
      </c>
      <c r="J27" s="9" t="str">
        <f t="shared" ca="1" si="17"/>
        <v>Done</v>
      </c>
      <c r="K27" s="9" t="str">
        <f t="shared" ca="1" si="18"/>
        <v>Done</v>
      </c>
      <c r="L27" s="9">
        <f t="shared" ca="1" si="19"/>
        <v>13</v>
      </c>
      <c r="M27" s="21">
        <f t="shared" ca="1" si="20"/>
        <v>27</v>
      </c>
    </row>
    <row r="28" spans="1:13" x14ac:dyDescent="0.35">
      <c r="A28" s="17" t="s">
        <v>169</v>
      </c>
      <c r="B28" s="9" t="str">
        <f>IFERROR(IF(COUNTIF('Company list 1'!$A$7:$A$1048576,A28)+COUNTIF('Company list 2'!$A$7:$A$1048576,A28)+COUNTIF('Company list 3'!$A$7:$A$1048576, A28)=1, "Yes", "Error"),"Error")</f>
        <v>Yes</v>
      </c>
      <c r="D28" s="10">
        <f>_xlfn.LET(_xlpm.L,IFERROR(_xlfn.XLOOKUP(A28,#REF!,#REF!),_xlfn.XLOOKUP(A28,'Company list 1'!A:A,'Company list 1'!C:C,"")),IF(_xlpm.L=0,"",_xlpm.L))</f>
        <v>46163</v>
      </c>
      <c r="E28" s="10">
        <f>_xlfn.LET(_xlpm.d,IFERROR(_xlfn.XLOOKUP(A28,#REF!,#REF!),_xlfn.XLOOKUP(A28,'Company list 1'!A:A,'Company list 1'!D:D,"")),IF(_xlpm.d=0,"",_xlpm.d))</f>
        <v>46191</v>
      </c>
      <c r="F28" s="10">
        <f t="shared" si="13"/>
        <v>46177</v>
      </c>
      <c r="G28" s="10">
        <f t="shared" si="14"/>
        <v>46191</v>
      </c>
      <c r="H28" s="10">
        <f t="shared" si="15"/>
        <v>46205</v>
      </c>
      <c r="I28" s="10">
        <f t="shared" si="16"/>
        <v>46219</v>
      </c>
      <c r="J28" s="9" t="str">
        <f t="shared" ca="1" si="17"/>
        <v>Done</v>
      </c>
      <c r="K28" s="9" t="str">
        <f t="shared" ca="1" si="18"/>
        <v>Done</v>
      </c>
      <c r="L28" s="9">
        <f t="shared" ca="1" si="19"/>
        <v>13</v>
      </c>
      <c r="M28" s="21">
        <f t="shared" ca="1" si="20"/>
        <v>27</v>
      </c>
    </row>
    <row r="29" spans="1:13" x14ac:dyDescent="0.35">
      <c r="A29" s="17" t="s">
        <v>174</v>
      </c>
      <c r="B29" s="9" t="str">
        <f>IFERROR(IF(COUNTIF('Company list 1'!$A$7:$A$1048576,A29)+COUNTIF('Company list 2'!$A$7:$A$1048576,A29)+COUNTIF('Company list 3'!$A$7:$A$1048576, A29)=1, "Yes", "Error"),"Error")</f>
        <v>Yes</v>
      </c>
      <c r="D29" s="10">
        <f>_xlfn.LET(_xlpm.L,IFERROR(_xlfn.XLOOKUP(A29,#REF!,#REF!),_xlfn.XLOOKUP(A29,'Company list 1'!A:A,'Company list 1'!C:C,"")),IF(_xlpm.L=0,"",_xlpm.L))</f>
        <v>46163</v>
      </c>
      <c r="E29" s="10" t="str">
        <f>_xlfn.LET(_xlpm.d,IFERROR(_xlfn.XLOOKUP(A29,#REF!,#REF!),_xlfn.XLOOKUP(A29,'Company list 1'!A:A,'Company list 1'!D:D,"")),IF(_xlpm.d=0,"",_xlpm.d))</f>
        <v>Got response</v>
      </c>
      <c r="F29" s="10" t="str">
        <f t="shared" si="13"/>
        <v/>
      </c>
      <c r="G29" s="10" t="str">
        <f t="shared" si="14"/>
        <v/>
      </c>
      <c r="H29" s="10" t="str">
        <f t="shared" si="15"/>
        <v/>
      </c>
      <c r="I29" s="10" t="str">
        <f t="shared" si="16"/>
        <v/>
      </c>
      <c r="J29" s="9" t="str">
        <f t="shared" ca="1" si="17"/>
        <v/>
      </c>
      <c r="K29" s="9" t="str">
        <f t="shared" ca="1" si="18"/>
        <v/>
      </c>
      <c r="L29" s="9" t="str">
        <f t="shared" ca="1" si="19"/>
        <v/>
      </c>
      <c r="M29" s="21" t="str">
        <f t="shared" ca="1" si="20"/>
        <v/>
      </c>
    </row>
    <row r="30" spans="1:13" x14ac:dyDescent="0.35">
      <c r="A30" s="17" t="s">
        <v>176</v>
      </c>
      <c r="B30" s="9" t="str">
        <f>IFERROR(IF(COUNTIF('Company list 1'!$A$7:$A$1048576,A30)+COUNTIF('Company list 2'!$A$7:$A$1048576,A30)+COUNTIF('Company list 3'!$A$7:$A$1048576, A30)=1, "Yes", "Error"),"Error")</f>
        <v>Yes</v>
      </c>
      <c r="D30" s="10">
        <f>_xlfn.LET(_xlpm.L,IFERROR(_xlfn.XLOOKUP(A30,#REF!,#REF!),_xlfn.XLOOKUP(A30,'Company list 1'!A:A,'Company list 1'!C:C,"")),IF(_xlpm.L=0,"",_xlpm.L))</f>
        <v>46163</v>
      </c>
      <c r="E30" s="10">
        <f>_xlfn.LET(_xlpm.d,IFERROR(_xlfn.XLOOKUP(A30,#REF!,#REF!),_xlfn.XLOOKUP(A30,'Company list 1'!A:A,'Company list 1'!D:D,"")),IF(_xlpm.d=0,"",_xlpm.d))</f>
        <v>46191</v>
      </c>
      <c r="F30" s="10">
        <f t="shared" si="13"/>
        <v>46177</v>
      </c>
      <c r="G30" s="10">
        <f t="shared" si="14"/>
        <v>46191</v>
      </c>
      <c r="H30" s="10">
        <f t="shared" si="15"/>
        <v>46205</v>
      </c>
      <c r="I30" s="10">
        <f t="shared" si="16"/>
        <v>46219</v>
      </c>
      <c r="J30" s="9" t="str">
        <f t="shared" ca="1" si="17"/>
        <v>Done</v>
      </c>
      <c r="K30" s="9" t="str">
        <f t="shared" ca="1" si="18"/>
        <v>Done</v>
      </c>
      <c r="L30" s="9">
        <f t="shared" ca="1" si="19"/>
        <v>13</v>
      </c>
      <c r="M30" s="21">
        <f t="shared" ca="1" si="20"/>
        <v>27</v>
      </c>
    </row>
    <row r="31" spans="1:13" x14ac:dyDescent="0.35">
      <c r="A31" s="17" t="s">
        <v>181</v>
      </c>
      <c r="B31" s="9" t="str">
        <f>IFERROR(IF(COUNTIF('Company list 1'!$A$7:$A$1048576,A31)+COUNTIF('Company list 2'!$A$7:$A$1048576,A31)+COUNTIF('Company list 3'!$A$7:$A$1048576, A31)=1, "Yes", "Error"),"Error")</f>
        <v>Yes</v>
      </c>
      <c r="D31" s="10">
        <f>_xlfn.LET(_xlpm.L,IFERROR(_xlfn.XLOOKUP(A31,#REF!,#REF!),_xlfn.XLOOKUP(A31,'Company list 1'!A:A,'Company list 1'!C:C,"")),IF(_xlpm.L=0,"",_xlpm.L))</f>
        <v>46163</v>
      </c>
      <c r="E31" s="10" t="str">
        <f>_xlfn.LET(_xlpm.d,IFERROR(_xlfn.XLOOKUP(A31,#REF!,#REF!),_xlfn.XLOOKUP(A31,'Company list 1'!A:A,'Company list 1'!D:D,"")),IF(_xlpm.d=0,"",_xlpm.d))</f>
        <v>Got response</v>
      </c>
      <c r="F31" s="10" t="str">
        <f t="shared" si="13"/>
        <v/>
      </c>
      <c r="G31" s="10" t="str">
        <f t="shared" si="14"/>
        <v/>
      </c>
      <c r="H31" s="10" t="str">
        <f t="shared" si="15"/>
        <v/>
      </c>
      <c r="I31" s="10" t="str">
        <f t="shared" si="16"/>
        <v/>
      </c>
      <c r="J31" s="9" t="str">
        <f t="shared" ca="1" si="17"/>
        <v/>
      </c>
      <c r="K31" s="9" t="str">
        <f t="shared" ca="1" si="18"/>
        <v/>
      </c>
      <c r="L31" s="9" t="str">
        <f t="shared" ca="1" si="19"/>
        <v/>
      </c>
      <c r="M31" s="21" t="str">
        <f t="shared" ca="1" si="20"/>
        <v/>
      </c>
    </row>
    <row r="32" spans="1:13" x14ac:dyDescent="0.35">
      <c r="A32" s="17" t="s">
        <v>184</v>
      </c>
      <c r="B32" s="9" t="str">
        <f>IFERROR(IF(COUNTIF('Company list 1'!$A$7:$A$1048576,A32)+COUNTIF('Company list 2'!$A$7:$A$1048576,A32)+COUNTIF('Company list 3'!$A$7:$A$1048576, A32)=1, "Yes", "Error"),"Error")</f>
        <v>Yes</v>
      </c>
      <c r="D32" s="10">
        <f>_xlfn.LET(_xlpm.L,IFERROR(_xlfn.XLOOKUP(A32,#REF!,#REF!),_xlfn.XLOOKUP(A32,'Company list 1'!A:A,'Company list 1'!C:C,"")),IF(_xlpm.L=0,"",_xlpm.L))</f>
        <v>46163</v>
      </c>
      <c r="E32" s="10">
        <f>_xlfn.LET(_xlpm.d,IFERROR(_xlfn.XLOOKUP(A32,#REF!,#REF!),_xlfn.XLOOKUP(A32,'Company list 1'!A:A,'Company list 1'!D:D,"")),IF(_xlpm.d=0,"",_xlpm.d))</f>
        <v>46191</v>
      </c>
      <c r="F32" s="10">
        <f t="shared" si="13"/>
        <v>46177</v>
      </c>
      <c r="G32" s="10">
        <f t="shared" si="14"/>
        <v>46191</v>
      </c>
      <c r="H32" s="10">
        <f t="shared" si="15"/>
        <v>46205</v>
      </c>
      <c r="I32" s="10">
        <f t="shared" si="16"/>
        <v>46219</v>
      </c>
      <c r="J32" s="9" t="str">
        <f t="shared" ca="1" si="17"/>
        <v>Done</v>
      </c>
      <c r="K32" s="9" t="str">
        <f t="shared" ca="1" si="18"/>
        <v>Done</v>
      </c>
      <c r="L32" s="9">
        <f t="shared" ca="1" si="19"/>
        <v>13</v>
      </c>
      <c r="M32" s="21">
        <f t="shared" ca="1" si="20"/>
        <v>27</v>
      </c>
    </row>
    <row r="33" spans="1:13" x14ac:dyDescent="0.35">
      <c r="A33" s="17" t="s">
        <v>222</v>
      </c>
      <c r="B33" s="9" t="str">
        <f>IFERROR(IF(COUNTIF('Company list 1'!$A$7:$A$1048576,A33)+COUNTIF('Company list 2'!$A$7:$A$1048576,A33)+COUNTIF('Company list 3'!$A$7:$A$1048576, A33)=1, "Yes", "Error"),"Error")</f>
        <v>Yes</v>
      </c>
      <c r="D33" s="10">
        <f>_xlfn.LET(_xlpm.L,IFERROR(_xlfn.XLOOKUP(A33,#REF!,#REF!),_xlfn.XLOOKUP(A33,'Company list 1'!A:A,'Company list 1'!C:C,"")),IF(_xlpm.L=0,"",_xlpm.L))</f>
        <v>46163</v>
      </c>
      <c r="E33" s="10">
        <f>_xlfn.LET(_xlpm.d,IFERROR(_xlfn.XLOOKUP(A33,#REF!,#REF!),_xlfn.XLOOKUP(A33,'Company list 1'!A:A,'Company list 1'!D:D,"")),IF(_xlpm.d=0,"",_xlpm.d))</f>
        <v>46191</v>
      </c>
      <c r="F33" s="10">
        <f t="shared" si="13"/>
        <v>46177</v>
      </c>
      <c r="G33" s="10">
        <f t="shared" si="14"/>
        <v>46191</v>
      </c>
      <c r="H33" s="10">
        <f t="shared" si="15"/>
        <v>46205</v>
      </c>
      <c r="I33" s="10">
        <f t="shared" si="16"/>
        <v>46219</v>
      </c>
      <c r="J33" s="9" t="str">
        <f t="shared" ca="1" si="17"/>
        <v>Done</v>
      </c>
      <c r="K33" s="9" t="str">
        <f t="shared" ca="1" si="18"/>
        <v>Done</v>
      </c>
      <c r="L33" s="9">
        <f t="shared" ca="1" si="19"/>
        <v>13</v>
      </c>
      <c r="M33" s="21">
        <f t="shared" ca="1" si="20"/>
        <v>27</v>
      </c>
    </row>
    <row r="34" spans="1:13" x14ac:dyDescent="0.35">
      <c r="A34" s="17" t="s">
        <v>231</v>
      </c>
      <c r="B34" s="9" t="str">
        <f>IFERROR(IF(COUNTIF('Company list 1'!$A$7:$A$1048576,A34)+COUNTIF('Company list 2'!$A$7:$A$1048576,A34)+COUNTIF('Company list 3'!$A$7:$A$1048576, A34)=1, "Yes", "Error"),"Error")</f>
        <v>Yes</v>
      </c>
      <c r="D34" s="10">
        <f>_xlfn.LET(_xlpm.L,IFERROR(_xlfn.XLOOKUP(A34,#REF!,#REF!),_xlfn.XLOOKUP(A34,'Company list 1'!A:A,'Company list 1'!C:C,"")),IF(_xlpm.L=0,"",_xlpm.L))</f>
        <v>46163</v>
      </c>
      <c r="E34" s="10">
        <f>_xlfn.LET(_xlpm.d,IFERROR(_xlfn.XLOOKUP(A34,#REF!,#REF!),_xlfn.XLOOKUP(A34,'Company list 1'!A:A,'Company list 1'!D:D,"")),IF(_xlpm.d=0,"",_xlpm.d))</f>
        <v>46191</v>
      </c>
      <c r="F34" s="10">
        <f t="shared" si="13"/>
        <v>46177</v>
      </c>
      <c r="G34" s="10">
        <f t="shared" si="14"/>
        <v>46191</v>
      </c>
      <c r="H34" s="10">
        <f t="shared" si="15"/>
        <v>46205</v>
      </c>
      <c r="I34" s="10">
        <f t="shared" si="16"/>
        <v>46219</v>
      </c>
      <c r="J34" s="9" t="str">
        <f t="shared" ca="1" si="17"/>
        <v>Done</v>
      </c>
      <c r="K34" s="9" t="str">
        <f t="shared" ca="1" si="18"/>
        <v>Done</v>
      </c>
      <c r="L34" s="9">
        <f t="shared" ca="1" si="19"/>
        <v>13</v>
      </c>
      <c r="M34" s="21">
        <f t="shared" ca="1" si="20"/>
        <v>27</v>
      </c>
    </row>
    <row r="35" spans="1:13" x14ac:dyDescent="0.35">
      <c r="A35" s="17" t="s">
        <v>239</v>
      </c>
      <c r="B35" s="9" t="str">
        <f>IFERROR(IF(COUNTIF('Company list 1'!$A$7:$A$1048576,A35)+COUNTIF('Company list 2'!$A$7:$A$1048576,A35)+COUNTIF('Company list 3'!$A$7:$A$1048576, A35)=1, "Yes", "Error"),"Error")</f>
        <v>Yes</v>
      </c>
      <c r="D35" s="10">
        <f>_xlfn.LET(_xlpm.L,IFERROR(_xlfn.XLOOKUP(A35,#REF!,#REF!),_xlfn.XLOOKUP(A35,'Company list 1'!A:A,'Company list 1'!C:C,"")),IF(_xlpm.L=0,"",_xlpm.L))</f>
        <v>46167</v>
      </c>
      <c r="E35" s="10">
        <f>_xlfn.LET(_xlpm.d,IFERROR(_xlfn.XLOOKUP(A35,#REF!,#REF!),_xlfn.XLOOKUP(A35,'Company list 1'!A:A,'Company list 1'!D:D,"")),IF(_xlpm.d=0,"",_xlpm.d))</f>
        <v>46181</v>
      </c>
      <c r="F35" s="10">
        <f t="shared" si="13"/>
        <v>46181</v>
      </c>
      <c r="G35" s="10">
        <f t="shared" si="14"/>
        <v>46195</v>
      </c>
      <c r="H35" s="10">
        <f t="shared" si="15"/>
        <v>46209</v>
      </c>
      <c r="I35" s="10">
        <f t="shared" si="16"/>
        <v>46223</v>
      </c>
      <c r="J35" s="9" t="str">
        <f t="shared" ca="1" si="17"/>
        <v>Done</v>
      </c>
      <c r="K35" s="9">
        <f t="shared" ca="1" si="18"/>
        <v>3</v>
      </c>
      <c r="L35" s="9">
        <f t="shared" ca="1" si="19"/>
        <v>17</v>
      </c>
      <c r="M35" s="21">
        <f t="shared" ca="1" si="20"/>
        <v>31</v>
      </c>
    </row>
    <row r="36" spans="1:13" x14ac:dyDescent="0.35">
      <c r="A36" s="17" t="s">
        <v>244</v>
      </c>
      <c r="B36" s="9" t="str">
        <f>IFERROR(IF(COUNTIF('Company list 1'!$A$7:$A$1048576,A36)+COUNTIF('Company list 2'!$A$7:$A$1048576,A36)+COUNTIF('Company list 3'!$A$7:$A$1048576, A36)=1, "Yes", "Error"),"Error")</f>
        <v>Yes</v>
      </c>
      <c r="D36" s="10">
        <f>_xlfn.LET(_xlpm.L,IFERROR(_xlfn.XLOOKUP(A36,#REF!,#REF!),_xlfn.XLOOKUP(A36,'Company list 1'!A:A,'Company list 1'!C:C,"")),IF(_xlpm.L=0,"",_xlpm.L))</f>
        <v>46167</v>
      </c>
      <c r="E36" s="10">
        <f>_xlfn.LET(_xlpm.d,IFERROR(_xlfn.XLOOKUP(A36,#REF!,#REF!),_xlfn.XLOOKUP(A36,'Company list 1'!A:A,'Company list 1'!D:D,"")),IF(_xlpm.d=0,"",_xlpm.d))</f>
        <v>46181</v>
      </c>
      <c r="F36" s="10">
        <f t="shared" si="13"/>
        <v>46181</v>
      </c>
      <c r="G36" s="10">
        <f t="shared" si="14"/>
        <v>46195</v>
      </c>
      <c r="H36" s="10">
        <f t="shared" si="15"/>
        <v>46209</v>
      </c>
      <c r="I36" s="10">
        <f t="shared" si="16"/>
        <v>46223</v>
      </c>
      <c r="J36" s="9" t="str">
        <f t="shared" ca="1" si="17"/>
        <v>Done</v>
      </c>
      <c r="K36" s="9">
        <f t="shared" ca="1" si="18"/>
        <v>3</v>
      </c>
      <c r="L36" s="9">
        <f t="shared" ca="1" si="19"/>
        <v>17</v>
      </c>
      <c r="M36" s="21">
        <f t="shared" ca="1" si="20"/>
        <v>31</v>
      </c>
    </row>
    <row r="37" spans="1:13" x14ac:dyDescent="0.35">
      <c r="A37" s="17" t="s">
        <v>248</v>
      </c>
      <c r="B37" s="9" t="str">
        <f>IFERROR(IF(COUNTIF('Company list 1'!$A$7:$A$1048576,A37)+COUNTIF('Company list 2'!$A$7:$A$1048576,A37)+COUNTIF('Company list 3'!$A$7:$A$1048576, A37)=1, "Yes", "Error"),"Error")</f>
        <v>Yes</v>
      </c>
      <c r="D37" s="10">
        <f>_xlfn.LET(_xlpm.L,IFERROR(_xlfn.XLOOKUP(A37,#REF!,#REF!),_xlfn.XLOOKUP(A37,'Company list 1'!A:A,'Company list 1'!C:C,"")),IF(_xlpm.L=0,"",_xlpm.L))</f>
        <v>46168</v>
      </c>
      <c r="E37" s="10">
        <f>_xlfn.LET(_xlpm.d,IFERROR(_xlfn.XLOOKUP(A37,#REF!,#REF!),_xlfn.XLOOKUP(A37,'Company list 1'!A:A,'Company list 1'!D:D,"")),IF(_xlpm.d=0,"",_xlpm.d))</f>
        <v>46182</v>
      </c>
      <c r="F37" s="10">
        <f t="shared" si="13"/>
        <v>46182</v>
      </c>
      <c r="G37" s="10">
        <f t="shared" si="14"/>
        <v>46196</v>
      </c>
      <c r="H37" s="10">
        <f t="shared" si="15"/>
        <v>46210</v>
      </c>
      <c r="I37" s="10">
        <f t="shared" si="16"/>
        <v>46224</v>
      </c>
      <c r="J37" s="9" t="str">
        <f t="shared" ca="1" si="17"/>
        <v>Done</v>
      </c>
      <c r="K37" s="9">
        <f t="shared" ca="1" si="18"/>
        <v>4</v>
      </c>
      <c r="L37" s="9">
        <f t="shared" ca="1" si="19"/>
        <v>18</v>
      </c>
      <c r="M37" s="21">
        <f t="shared" ca="1" si="20"/>
        <v>32</v>
      </c>
    </row>
    <row r="38" spans="1:13" x14ac:dyDescent="0.35">
      <c r="A38" s="17" t="s">
        <v>262</v>
      </c>
      <c r="B38" s="9" t="str">
        <f>IFERROR(IF(COUNTIF('Company list 1'!$A$7:$A$1048576,A38)+COUNTIF('Company list 2'!$A$7:$A$1048576,A38)+COUNTIF('Company list 3'!$A$7:$A$1048576, A38)=1, "Yes", "Error"),"Error")</f>
        <v>Yes</v>
      </c>
      <c r="D38" s="10">
        <f>_xlfn.LET(_xlpm.L,IFERROR(_xlfn.XLOOKUP(A38,#REF!,#REF!),_xlfn.XLOOKUP(A38,'Company list 1'!A:A,'Company list 1'!C:C,"")),IF(_xlpm.L=0,"",_xlpm.L))</f>
        <v>46168</v>
      </c>
      <c r="E38" s="10">
        <f>_xlfn.LET(_xlpm.d,IFERROR(_xlfn.XLOOKUP(A38,#REF!,#REF!),_xlfn.XLOOKUP(A38,'Company list 1'!A:A,'Company list 1'!D:D,"")),IF(_xlpm.d=0,"",_xlpm.d))</f>
        <v>46182</v>
      </c>
      <c r="F38" s="10">
        <f t="shared" si="13"/>
        <v>46182</v>
      </c>
      <c r="G38" s="10">
        <f t="shared" si="14"/>
        <v>46196</v>
      </c>
      <c r="H38" s="10">
        <f t="shared" si="15"/>
        <v>46210</v>
      </c>
      <c r="I38" s="10">
        <f t="shared" si="16"/>
        <v>46224</v>
      </c>
      <c r="J38" s="9" t="str">
        <f t="shared" ca="1" si="17"/>
        <v>Done</v>
      </c>
      <c r="K38" s="9">
        <f t="shared" ca="1" si="18"/>
        <v>4</v>
      </c>
      <c r="L38" s="9">
        <f t="shared" ca="1" si="19"/>
        <v>18</v>
      </c>
      <c r="M38" s="21">
        <f t="shared" ca="1" si="20"/>
        <v>32</v>
      </c>
    </row>
    <row r="39" spans="1:13" x14ac:dyDescent="0.35">
      <c r="A39" s="17" t="s">
        <v>272</v>
      </c>
      <c r="B39" s="9" t="str">
        <f>IFERROR(IF(COUNTIF('Company list 1'!$A$7:$A$1048576,A39)+COUNTIF('Company list 2'!$A$7:$A$1048576,A39)+COUNTIF('Company list 3'!$A$7:$A$1048576, A39)=1, "Yes", "Error"),"Error")</f>
        <v>Yes</v>
      </c>
      <c r="D39" s="10">
        <f>_xlfn.LET(_xlpm.L,IFERROR(_xlfn.XLOOKUP(A39,#REF!,#REF!),_xlfn.XLOOKUP(A39,'Company list 1'!A:A,'Company list 1'!C:C,"")),IF(_xlpm.L=0,"",_xlpm.L))</f>
        <v>46168</v>
      </c>
      <c r="E39" s="10">
        <f>_xlfn.LET(_xlpm.d,IFERROR(_xlfn.XLOOKUP(A39,#REF!,#REF!),_xlfn.XLOOKUP(A39,'Company list 1'!A:A,'Company list 1'!D:D,"")),IF(_xlpm.d=0,"",_xlpm.d))</f>
        <v>46182</v>
      </c>
      <c r="F39" s="10">
        <f t="shared" si="13"/>
        <v>46182</v>
      </c>
      <c r="G39" s="10">
        <f t="shared" si="14"/>
        <v>46196</v>
      </c>
      <c r="H39" s="10">
        <f t="shared" si="15"/>
        <v>46210</v>
      </c>
      <c r="I39" s="10">
        <f t="shared" si="16"/>
        <v>46224</v>
      </c>
      <c r="J39" s="9" t="str">
        <f t="shared" ca="1" si="17"/>
        <v>Done</v>
      </c>
      <c r="K39" s="9">
        <f t="shared" ca="1" si="18"/>
        <v>4</v>
      </c>
      <c r="L39" s="9">
        <f t="shared" ca="1" si="19"/>
        <v>18</v>
      </c>
      <c r="M39" s="21">
        <f t="shared" ca="1" si="20"/>
        <v>32</v>
      </c>
    </row>
    <row r="40" spans="1:13" x14ac:dyDescent="0.35">
      <c r="A40" s="17" t="s">
        <v>274</v>
      </c>
      <c r="B40" s="9" t="str">
        <f>IFERROR(IF(COUNTIF('Company list 1'!$A$7:$A$1048576,A40)+COUNTIF('Company list 2'!$A$7:$A$1048576,A40)+COUNTIF('Company list 3'!$A$7:$A$1048576, A40)=1, "Yes", "Error"),"Error")</f>
        <v>Yes</v>
      </c>
      <c r="D40" s="10">
        <f>_xlfn.LET(_xlpm.L,IFERROR(_xlfn.XLOOKUP(A40,#REF!,#REF!),_xlfn.XLOOKUP(A40,'Company list 1'!A:A,'Company list 1'!C:C,"")),IF(_xlpm.L=0,"",_xlpm.L))</f>
        <v>46168</v>
      </c>
      <c r="E40" s="10">
        <f>_xlfn.LET(_xlpm.d,IFERROR(_xlfn.XLOOKUP(A40,#REF!,#REF!),_xlfn.XLOOKUP(A40,'Company list 1'!A:A,'Company list 1'!D:D,"")),IF(_xlpm.d=0,"",_xlpm.d))</f>
        <v>46182</v>
      </c>
      <c r="F40" s="10">
        <f t="shared" si="13"/>
        <v>46182</v>
      </c>
      <c r="G40" s="10">
        <f t="shared" si="14"/>
        <v>46196</v>
      </c>
      <c r="H40" s="10">
        <f t="shared" si="15"/>
        <v>46210</v>
      </c>
      <c r="I40" s="10">
        <f t="shared" si="16"/>
        <v>46224</v>
      </c>
      <c r="J40" s="9" t="str">
        <f t="shared" ca="1" si="17"/>
        <v>Done</v>
      </c>
      <c r="K40" s="9">
        <f t="shared" ca="1" si="18"/>
        <v>4</v>
      </c>
      <c r="L40" s="9">
        <f t="shared" ca="1" si="19"/>
        <v>18</v>
      </c>
      <c r="M40" s="21">
        <f t="shared" ca="1" si="20"/>
        <v>32</v>
      </c>
    </row>
    <row r="41" spans="1:13" x14ac:dyDescent="0.35">
      <c r="A41" s="17" t="s">
        <v>276</v>
      </c>
      <c r="B41" s="9" t="str">
        <f>IFERROR(IF(COUNTIF('Company list 1'!$A$7:$A$1048576,A41)+COUNTIF('Company list 2'!$A$7:$A$1048576,A41)+COUNTIF('Company list 3'!$A$7:$A$1048576, A41)=1, "Yes", "Error"),"Error")</f>
        <v>Yes</v>
      </c>
      <c r="D41" s="10">
        <f>_xlfn.LET(_xlpm.L,IFERROR(_xlfn.XLOOKUP(A41,#REF!,#REF!),_xlfn.XLOOKUP(A41,'Company list 1'!A:A,'Company list 1'!C:C,"")),IF(_xlpm.L=0,"",_xlpm.L))</f>
        <v>46168</v>
      </c>
      <c r="E41" s="10">
        <f>_xlfn.LET(_xlpm.d,IFERROR(_xlfn.XLOOKUP(A41,#REF!,#REF!),_xlfn.XLOOKUP(A41,'Company list 1'!A:A,'Company list 1'!D:D,"")),IF(_xlpm.d=0,"",_xlpm.d))</f>
        <v>46182</v>
      </c>
      <c r="F41" s="10">
        <f t="shared" si="13"/>
        <v>46182</v>
      </c>
      <c r="G41" s="10">
        <f t="shared" si="14"/>
        <v>46196</v>
      </c>
      <c r="H41" s="10">
        <f t="shared" si="15"/>
        <v>46210</v>
      </c>
      <c r="I41" s="10">
        <f t="shared" si="16"/>
        <v>46224</v>
      </c>
      <c r="J41" s="9" t="str">
        <f t="shared" ca="1" si="17"/>
        <v>Done</v>
      </c>
      <c r="K41" s="9">
        <f t="shared" ca="1" si="18"/>
        <v>4</v>
      </c>
      <c r="L41" s="9">
        <f t="shared" ca="1" si="19"/>
        <v>18</v>
      </c>
      <c r="M41" s="21">
        <f t="shared" ca="1" si="20"/>
        <v>32</v>
      </c>
    </row>
    <row r="42" spans="1:13" x14ac:dyDescent="0.35">
      <c r="A42" s="17" t="s">
        <v>280</v>
      </c>
      <c r="B42" s="9" t="str">
        <f>IFERROR(IF(COUNTIF('Company list 1'!$A$7:$A$1048576,A42)+COUNTIF('Company list 2'!$A$7:$A$1048576,A42)+COUNTIF('Company list 3'!$A$7:$A$1048576, A42)=1, "Yes", "Error"),"Error")</f>
        <v>Yes</v>
      </c>
      <c r="D42" s="10">
        <f>_xlfn.LET(_xlpm.L,IFERROR(_xlfn.XLOOKUP(A42,#REF!,#REF!),_xlfn.XLOOKUP(A42,'Company list 1'!A:A,'Company list 1'!C:C,"")),IF(_xlpm.L=0,"",_xlpm.L))</f>
        <v>46168</v>
      </c>
      <c r="E42" s="10">
        <f>_xlfn.LET(_xlpm.d,IFERROR(_xlfn.XLOOKUP(A42,#REF!,#REF!),_xlfn.XLOOKUP(A42,'Company list 1'!A:A,'Company list 1'!D:D,"")),IF(_xlpm.d=0,"",_xlpm.d))</f>
        <v>46182</v>
      </c>
      <c r="F42" s="10">
        <f t="shared" si="13"/>
        <v>46182</v>
      </c>
      <c r="G42" s="10">
        <f t="shared" si="14"/>
        <v>46196</v>
      </c>
      <c r="H42" s="10">
        <f t="shared" si="15"/>
        <v>46210</v>
      </c>
      <c r="I42" s="10">
        <f t="shared" si="16"/>
        <v>46224</v>
      </c>
      <c r="J42" s="9" t="str">
        <f t="shared" ca="1" si="17"/>
        <v>Done</v>
      </c>
      <c r="K42" s="9">
        <f t="shared" ca="1" si="18"/>
        <v>4</v>
      </c>
      <c r="L42" s="9">
        <f t="shared" ca="1" si="19"/>
        <v>18</v>
      </c>
      <c r="M42" s="21">
        <f t="shared" ca="1" si="20"/>
        <v>32</v>
      </c>
    </row>
    <row r="43" spans="1:13" x14ac:dyDescent="0.35">
      <c r="A43" s="17" t="s">
        <v>284</v>
      </c>
      <c r="B43" s="9" t="str">
        <f>IFERROR(IF(COUNTIF('Company list 1'!$A$7:$A$1048576,A43)+COUNTIF('Company list 2'!$A$7:$A$1048576,A43)+COUNTIF('Company list 3'!$A$7:$A$1048576, A43)=1, "Yes", "Error"),"Error")</f>
        <v>Yes</v>
      </c>
      <c r="D43" s="10">
        <f>_xlfn.LET(_xlpm.L,IFERROR(_xlfn.XLOOKUP(A43,#REF!,#REF!),_xlfn.XLOOKUP(A43,'Company list 1'!A:A,'Company list 1'!C:C,"")),IF(_xlpm.L=0,"",_xlpm.L))</f>
        <v>46168</v>
      </c>
      <c r="E43" s="10">
        <f>_xlfn.LET(_xlpm.d,IFERROR(_xlfn.XLOOKUP(A43,#REF!,#REF!),_xlfn.XLOOKUP(A43,'Company list 1'!A:A,'Company list 1'!D:D,"")),IF(_xlpm.d=0,"",_xlpm.d))</f>
        <v>46182</v>
      </c>
      <c r="F43" s="10">
        <f t="shared" si="13"/>
        <v>46182</v>
      </c>
      <c r="G43" s="10">
        <f t="shared" si="14"/>
        <v>46196</v>
      </c>
      <c r="H43" s="10">
        <f t="shared" si="15"/>
        <v>46210</v>
      </c>
      <c r="I43" s="10">
        <f t="shared" si="16"/>
        <v>46224</v>
      </c>
      <c r="J43" s="9" t="str">
        <f t="shared" ca="1" si="17"/>
        <v>Done</v>
      </c>
      <c r="K43" s="9">
        <f t="shared" ca="1" si="18"/>
        <v>4</v>
      </c>
      <c r="L43" s="9">
        <f t="shared" ca="1" si="19"/>
        <v>18</v>
      </c>
      <c r="M43" s="21">
        <f t="shared" ca="1" si="20"/>
        <v>32</v>
      </c>
    </row>
    <row r="44" spans="1:13" x14ac:dyDescent="0.35">
      <c r="A44" s="17" t="s">
        <v>287</v>
      </c>
      <c r="B44" s="9" t="str">
        <f>IFERROR(IF(COUNTIF('Company list 1'!$A$7:$A$1048576,A44)+COUNTIF('Company list 2'!$A$7:$A$1048576,A44)+COUNTIF('Company list 3'!$A$7:$A$1048576, A44)=1, "Yes", "Error"),"Error")</f>
        <v>Yes</v>
      </c>
      <c r="D44" s="10">
        <f>_xlfn.LET(_xlpm.L,IFERROR(_xlfn.XLOOKUP(A44,#REF!,#REF!),_xlfn.XLOOKUP(A44,'Company list 1'!A:A,'Company list 1'!C:C,"")),IF(_xlpm.L=0,"",_xlpm.L))</f>
        <v>46168</v>
      </c>
      <c r="E44" s="10">
        <f>_xlfn.LET(_xlpm.d,IFERROR(_xlfn.XLOOKUP(A44,#REF!,#REF!),_xlfn.XLOOKUP(A44,'Company list 1'!A:A,'Company list 1'!D:D,"")),IF(_xlpm.d=0,"",_xlpm.d))</f>
        <v>46182</v>
      </c>
      <c r="F44" s="10">
        <f t="shared" si="13"/>
        <v>46182</v>
      </c>
      <c r="G44" s="10">
        <f t="shared" si="14"/>
        <v>46196</v>
      </c>
      <c r="H44" s="10">
        <f t="shared" si="15"/>
        <v>46210</v>
      </c>
      <c r="I44" s="10">
        <f t="shared" si="16"/>
        <v>46224</v>
      </c>
      <c r="J44" s="9" t="str">
        <f t="shared" ca="1" si="17"/>
        <v>Done</v>
      </c>
      <c r="K44" s="9">
        <f t="shared" ca="1" si="18"/>
        <v>4</v>
      </c>
      <c r="L44" s="9">
        <f t="shared" ca="1" si="19"/>
        <v>18</v>
      </c>
      <c r="M44" s="21">
        <f t="shared" ca="1" si="20"/>
        <v>32</v>
      </c>
    </row>
    <row r="45" spans="1:13" x14ac:dyDescent="0.35">
      <c r="A45" s="17" t="s">
        <v>294</v>
      </c>
      <c r="B45" s="9" t="str">
        <f>IFERROR(IF(COUNTIF('Company list 1'!$A$7:$A$1048576,A45)+COUNTIF('Company list 2'!$A$7:$A$1048576,A45)+COUNTIF('Company list 3'!$A$7:$A$1048576, A45)=1, "Yes", "Error"),"Error")</f>
        <v>Yes</v>
      </c>
      <c r="D45" s="10">
        <f>_xlfn.LET(_xlpm.L,IFERROR(_xlfn.XLOOKUP(A45,#REF!,#REF!),_xlfn.XLOOKUP(A45,'Company list 1'!A:A,'Company list 1'!C:C,"")),IF(_xlpm.L=0,"",_xlpm.L))</f>
        <v>46168</v>
      </c>
      <c r="E45" s="10">
        <f>_xlfn.LET(_xlpm.d,IFERROR(_xlfn.XLOOKUP(A45,#REF!,#REF!),_xlfn.XLOOKUP(A45,'Company list 1'!A:A,'Company list 1'!D:D,"")),IF(_xlpm.d=0,"",_xlpm.d))</f>
        <v>46182</v>
      </c>
      <c r="F45" s="10">
        <f t="shared" si="13"/>
        <v>46182</v>
      </c>
      <c r="G45" s="10">
        <f t="shared" si="14"/>
        <v>46196</v>
      </c>
      <c r="H45" s="10">
        <f t="shared" si="15"/>
        <v>46210</v>
      </c>
      <c r="I45" s="10">
        <f t="shared" si="16"/>
        <v>46224</v>
      </c>
      <c r="J45" s="9" t="str">
        <f t="shared" ca="1" si="17"/>
        <v>Done</v>
      </c>
      <c r="K45" s="9">
        <f t="shared" ca="1" si="18"/>
        <v>4</v>
      </c>
      <c r="L45" s="9">
        <f t="shared" ca="1" si="19"/>
        <v>18</v>
      </c>
      <c r="M45" s="21">
        <f t="shared" ca="1" si="20"/>
        <v>32</v>
      </c>
    </row>
    <row r="46" spans="1:13" x14ac:dyDescent="0.35">
      <c r="A46" s="17" t="s">
        <v>297</v>
      </c>
      <c r="B46" s="9" t="str">
        <f>IFERROR(IF(COUNTIF('Company list 1'!$A$7:$A$1048576,A46)+COUNTIF('Company list 2'!$A$7:$A$1048576,A46)+COUNTIF('Company list 3'!$A$7:$A$1048576, A46)=1, "Yes", "Error"),"Error")</f>
        <v>Yes</v>
      </c>
      <c r="D46" s="10">
        <f>_xlfn.LET(_xlpm.L,IFERROR(_xlfn.XLOOKUP(A46,#REF!,#REF!),_xlfn.XLOOKUP(A46,'Company list 1'!A:A,'Company list 1'!C:C,"")),IF(_xlpm.L=0,"",_xlpm.L))</f>
        <v>46168</v>
      </c>
      <c r="E46" s="10" t="str">
        <f>_xlfn.LET(_xlpm.d,IFERROR(_xlfn.XLOOKUP(A46,#REF!,#REF!),_xlfn.XLOOKUP(A46,'Company list 1'!A:A,'Company list 1'!D:D,"")),IF(_xlpm.d=0,"",_xlpm.d))</f>
        <v>Got response</v>
      </c>
      <c r="F46" s="10" t="str">
        <f t="shared" si="13"/>
        <v/>
      </c>
      <c r="G46" s="10" t="str">
        <f t="shared" si="14"/>
        <v/>
      </c>
      <c r="H46" s="10" t="str">
        <f t="shared" si="15"/>
        <v/>
      </c>
      <c r="I46" s="10" t="str">
        <f t="shared" si="16"/>
        <v/>
      </c>
      <c r="J46" s="9" t="str">
        <f t="shared" ca="1" si="17"/>
        <v/>
      </c>
      <c r="K46" s="9" t="str">
        <f t="shared" ca="1" si="18"/>
        <v/>
      </c>
      <c r="L46" s="9" t="str">
        <f t="shared" ca="1" si="19"/>
        <v/>
      </c>
      <c r="M46" s="21" t="str">
        <f t="shared" ca="1" si="20"/>
        <v/>
      </c>
    </row>
    <row r="47" spans="1:13" x14ac:dyDescent="0.35">
      <c r="A47" s="17" t="s">
        <v>316</v>
      </c>
      <c r="B47" s="9" t="str">
        <f>IFERROR(IF(COUNTIF('Company list 1'!$A$7:$A$1048576,A47)+COUNTIF('Company list 2'!$A$7:$A$1048576,A47)+COUNTIF('Company list 3'!$A$7:$A$1048576, A47)=1, "Yes", "Error"),"Error")</f>
        <v>Yes</v>
      </c>
      <c r="D47" s="10">
        <f>_xlfn.LET(_xlpm.L,IFERROR(_xlfn.XLOOKUP(A47,#REF!,#REF!),_xlfn.XLOOKUP(A47,'Company list 1'!A:A,'Company list 1'!C:C,"")),IF(_xlpm.L=0,"",_xlpm.L))</f>
        <v>46168</v>
      </c>
      <c r="E47" s="10">
        <f>_xlfn.LET(_xlpm.d,IFERROR(_xlfn.XLOOKUP(A47,#REF!,#REF!),_xlfn.XLOOKUP(A47,'Company list 1'!A:A,'Company list 1'!D:D,"")),IF(_xlpm.d=0,"",_xlpm.d))</f>
        <v>46182</v>
      </c>
      <c r="F47" s="10">
        <f t="shared" si="13"/>
        <v>46182</v>
      </c>
      <c r="G47" s="10">
        <f t="shared" si="14"/>
        <v>46196</v>
      </c>
      <c r="H47" s="10">
        <f t="shared" si="15"/>
        <v>46210</v>
      </c>
      <c r="I47" s="10">
        <f t="shared" si="16"/>
        <v>46224</v>
      </c>
      <c r="J47" s="9" t="str">
        <f t="shared" ca="1" si="17"/>
        <v>Done</v>
      </c>
      <c r="K47" s="9">
        <f t="shared" ca="1" si="18"/>
        <v>4</v>
      </c>
      <c r="L47" s="9">
        <f t="shared" ca="1" si="19"/>
        <v>18</v>
      </c>
      <c r="M47" s="21">
        <f t="shared" ca="1" si="20"/>
        <v>32</v>
      </c>
    </row>
    <row r="48" spans="1:13" x14ac:dyDescent="0.35">
      <c r="A48" s="17" t="s">
        <v>331</v>
      </c>
      <c r="B48" s="9" t="str">
        <f>IFERROR(IF(COUNTIF('Company list 1'!$A$7:$A$1048576,A48)+COUNTIF('Company list 2'!$A$7:$A$1048576,A48)+COUNTIF('Company list 3'!$A$7:$A$1048576, A48)=1, "Yes", "Error"),"Error")</f>
        <v>Yes</v>
      </c>
      <c r="D48" s="10">
        <f>_xlfn.LET(_xlpm.L,IFERROR(_xlfn.XLOOKUP(A48,#REF!,#REF!),_xlfn.XLOOKUP(A48,'Company list 1'!A:A,'Company list 1'!C:C,"")),IF(_xlpm.L=0,"",_xlpm.L))</f>
        <v>46169</v>
      </c>
      <c r="E48" s="10">
        <f>_xlfn.LET(_xlpm.d,IFERROR(_xlfn.XLOOKUP(A48,#REF!,#REF!),_xlfn.XLOOKUP(A48,'Company list 1'!A:A,'Company list 1'!D:D,"")),IF(_xlpm.d=0,"",_xlpm.d))</f>
        <v>46183</v>
      </c>
      <c r="F48" s="10">
        <f t="shared" si="13"/>
        <v>46183</v>
      </c>
      <c r="G48" s="10">
        <f t="shared" si="14"/>
        <v>46197</v>
      </c>
      <c r="H48" s="10">
        <f t="shared" si="15"/>
        <v>46211</v>
      </c>
      <c r="I48" s="10">
        <f t="shared" si="16"/>
        <v>46225</v>
      </c>
      <c r="J48" s="9" t="str">
        <f t="shared" ca="1" si="17"/>
        <v>Done</v>
      </c>
      <c r="K48" s="9">
        <f t="shared" ca="1" si="18"/>
        <v>5</v>
      </c>
      <c r="L48" s="9">
        <f t="shared" ca="1" si="19"/>
        <v>19</v>
      </c>
      <c r="M48" s="21">
        <f t="shared" ca="1" si="20"/>
        <v>33</v>
      </c>
    </row>
    <row r="49" spans="1:13" x14ac:dyDescent="0.35">
      <c r="A49" s="17" t="s">
        <v>334</v>
      </c>
      <c r="B49" s="9" t="str">
        <f>IFERROR(IF(COUNTIF('Company list 1'!$A$7:$A$1048576,A49)+COUNTIF('Company list 2'!$A$7:$A$1048576,A49)+COUNTIF('Company list 3'!$A$7:$A$1048576, A49)=1, "Yes", "Error"),"Error")</f>
        <v>Yes</v>
      </c>
      <c r="D49" s="10">
        <f>_xlfn.LET(_xlpm.L,IFERROR(_xlfn.XLOOKUP(A49,#REF!,#REF!),_xlfn.XLOOKUP(A49,'Company list 1'!A:A,'Company list 1'!C:C,"")),IF(_xlpm.L=0,"",_xlpm.L))</f>
        <v>46169</v>
      </c>
      <c r="E49" s="10">
        <f>_xlfn.LET(_xlpm.d,IFERROR(_xlfn.XLOOKUP(A49,#REF!,#REF!),_xlfn.XLOOKUP(A49,'Company list 1'!A:A,'Company list 1'!D:D,"")),IF(_xlpm.d=0,"",_xlpm.d))</f>
        <v>46183</v>
      </c>
      <c r="F49" s="10">
        <f t="shared" si="13"/>
        <v>46183</v>
      </c>
      <c r="G49" s="10">
        <f t="shared" si="14"/>
        <v>46197</v>
      </c>
      <c r="H49" s="10">
        <f t="shared" si="15"/>
        <v>46211</v>
      </c>
      <c r="I49" s="10">
        <f t="shared" si="16"/>
        <v>46225</v>
      </c>
      <c r="J49" s="9" t="str">
        <f t="shared" ca="1" si="17"/>
        <v>Done</v>
      </c>
      <c r="K49" s="9">
        <f t="shared" ca="1" si="18"/>
        <v>5</v>
      </c>
      <c r="L49" s="9">
        <f t="shared" ca="1" si="19"/>
        <v>19</v>
      </c>
      <c r="M49" s="21">
        <f t="shared" ca="1" si="20"/>
        <v>33</v>
      </c>
    </row>
    <row r="50" spans="1:13" x14ac:dyDescent="0.35">
      <c r="A50" s="17" t="s">
        <v>337</v>
      </c>
      <c r="B50" s="9" t="str">
        <f>IFERROR(IF(COUNTIF('Company list 1'!$A$7:$A$1048576,A50)+COUNTIF('Company list 2'!$A$7:$A$1048576,A50)+COUNTIF('Company list 3'!$A$7:$A$1048576, A50)=1, "Yes", "Error"),"Error")</f>
        <v>Yes</v>
      </c>
      <c r="D50" s="10">
        <f>_xlfn.LET(_xlpm.L,IFERROR(_xlfn.XLOOKUP(A50,#REF!,#REF!),_xlfn.XLOOKUP(A50,'Company list 1'!A:A,'Company list 1'!C:C,"")),IF(_xlpm.L=0,"",_xlpm.L))</f>
        <v>46169</v>
      </c>
      <c r="E50" s="10">
        <f>_xlfn.LET(_xlpm.d,IFERROR(_xlfn.XLOOKUP(A50,#REF!,#REF!),_xlfn.XLOOKUP(A50,'Company list 1'!A:A,'Company list 1'!D:D,"")),IF(_xlpm.d=0,"",_xlpm.d))</f>
        <v>46183</v>
      </c>
      <c r="F50" s="10">
        <f t="shared" si="13"/>
        <v>46183</v>
      </c>
      <c r="G50" s="10">
        <f t="shared" si="14"/>
        <v>46197</v>
      </c>
      <c r="H50" s="10">
        <f t="shared" si="15"/>
        <v>46211</v>
      </c>
      <c r="I50" s="10">
        <f t="shared" si="16"/>
        <v>46225</v>
      </c>
      <c r="J50" s="9" t="str">
        <f t="shared" ca="1" si="17"/>
        <v>Done</v>
      </c>
      <c r="K50" s="9">
        <f t="shared" ca="1" si="18"/>
        <v>5</v>
      </c>
      <c r="L50" s="9">
        <f t="shared" ca="1" si="19"/>
        <v>19</v>
      </c>
      <c r="M50" s="21">
        <f t="shared" ca="1" si="20"/>
        <v>33</v>
      </c>
    </row>
    <row r="51" spans="1:13" x14ac:dyDescent="0.35">
      <c r="A51" s="17" t="s">
        <v>338</v>
      </c>
      <c r="B51" s="9" t="str">
        <f>IFERROR(IF(COUNTIF('Company list 1'!$A$7:$A$1048576,A51)+COUNTIF('Company list 2'!$A$7:$A$1048576,A51)+COUNTIF('Company list 3'!$A$7:$A$1048576, A51)=1, "Yes", "Error"),"Error")</f>
        <v>Yes</v>
      </c>
      <c r="D51" s="10">
        <f>_xlfn.LET(_xlpm.L,IFERROR(_xlfn.XLOOKUP(A51,#REF!,#REF!),_xlfn.XLOOKUP(A51,'Company list 1'!A:A,'Company list 1'!C:C,"")),IF(_xlpm.L=0,"",_xlpm.L))</f>
        <v>46169</v>
      </c>
      <c r="E51" s="10">
        <f>_xlfn.LET(_xlpm.d,IFERROR(_xlfn.XLOOKUP(A51,#REF!,#REF!),_xlfn.XLOOKUP(A51,'Company list 1'!A:A,'Company list 1'!D:D,"")),IF(_xlpm.d=0,"",_xlpm.d))</f>
        <v>46183</v>
      </c>
      <c r="F51" s="10">
        <f t="shared" si="13"/>
        <v>46183</v>
      </c>
      <c r="G51" s="10">
        <f t="shared" si="14"/>
        <v>46197</v>
      </c>
      <c r="H51" s="10">
        <f t="shared" si="15"/>
        <v>46211</v>
      </c>
      <c r="I51" s="10">
        <f t="shared" si="16"/>
        <v>46225</v>
      </c>
      <c r="J51" s="9" t="str">
        <f t="shared" ca="1" si="17"/>
        <v>Done</v>
      </c>
      <c r="K51" s="9">
        <f t="shared" ca="1" si="18"/>
        <v>5</v>
      </c>
      <c r="L51" s="9">
        <f t="shared" ca="1" si="19"/>
        <v>19</v>
      </c>
      <c r="M51" s="21">
        <f t="shared" ca="1" si="20"/>
        <v>33</v>
      </c>
    </row>
    <row r="52" spans="1:13" x14ac:dyDescent="0.35">
      <c r="A52" s="17" t="s">
        <v>341</v>
      </c>
      <c r="B52" s="9" t="str">
        <f>IFERROR(IF(COUNTIF('Company list 1'!$A$7:$A$1048576,A52)+COUNTIF('Company list 2'!$A$7:$A$1048576,A52)+COUNTIF('Company list 3'!$A$7:$A$1048576, A52)=1, "Yes", "Error"),"Error")</f>
        <v>Yes</v>
      </c>
      <c r="D52" s="10">
        <f>_xlfn.LET(_xlpm.L,IFERROR(_xlfn.XLOOKUP(A52,#REF!,#REF!),_xlfn.XLOOKUP(A52,'Company list 1'!A:A,'Company list 1'!C:C,"")),IF(_xlpm.L=0,"",_xlpm.L))</f>
        <v>46169</v>
      </c>
      <c r="E52" s="10">
        <f>_xlfn.LET(_xlpm.d,IFERROR(_xlfn.XLOOKUP(A52,#REF!,#REF!),_xlfn.XLOOKUP(A52,'Company list 1'!A:A,'Company list 1'!D:D,"")),IF(_xlpm.d=0,"",_xlpm.d))</f>
        <v>46183</v>
      </c>
      <c r="F52" s="10">
        <f t="shared" si="13"/>
        <v>46183</v>
      </c>
      <c r="G52" s="10">
        <f t="shared" si="14"/>
        <v>46197</v>
      </c>
      <c r="H52" s="10">
        <f t="shared" si="15"/>
        <v>46211</v>
      </c>
      <c r="I52" s="10">
        <f t="shared" si="16"/>
        <v>46225</v>
      </c>
      <c r="J52" s="9" t="str">
        <f t="shared" ca="1" si="17"/>
        <v>Done</v>
      </c>
      <c r="K52" s="9">
        <f t="shared" ca="1" si="18"/>
        <v>5</v>
      </c>
      <c r="L52" s="9">
        <f t="shared" ca="1" si="19"/>
        <v>19</v>
      </c>
      <c r="M52" s="21">
        <f t="shared" ca="1" si="20"/>
        <v>33</v>
      </c>
    </row>
    <row r="53" spans="1:13" x14ac:dyDescent="0.35">
      <c r="A53" s="17" t="s">
        <v>346</v>
      </c>
      <c r="B53" s="9" t="str">
        <f>IFERROR(IF(COUNTIF('Company list 1'!$A$7:$A$1048576,A53)+COUNTIF('Company list 2'!$A$7:$A$1048576,A53)+COUNTIF('Company list 3'!$A$7:$A$1048576, A53)=1, "Yes", "Error"),"Error")</f>
        <v>Yes</v>
      </c>
      <c r="D53" s="10">
        <f>_xlfn.LET(_xlpm.L,IFERROR(_xlfn.XLOOKUP(A53,#REF!,#REF!),_xlfn.XLOOKUP(A53,'Company list 1'!A:A,'Company list 1'!C:C,"")),IF(_xlpm.L=0,"",_xlpm.L))</f>
        <v>46169</v>
      </c>
      <c r="E53" s="10" t="str">
        <f>_xlfn.LET(_xlpm.d,IFERROR(_xlfn.XLOOKUP(A53,#REF!,#REF!),_xlfn.XLOOKUP(A53,'Company list 1'!A:A,'Company list 1'!D:D,"")),IF(_xlpm.d=0,"",_xlpm.d))</f>
        <v>Got response</v>
      </c>
      <c r="F53" s="10" t="str">
        <f t="shared" si="13"/>
        <v/>
      </c>
      <c r="G53" s="10" t="str">
        <f t="shared" si="14"/>
        <v/>
      </c>
      <c r="H53" s="10" t="str">
        <f t="shared" si="15"/>
        <v/>
      </c>
      <c r="I53" s="10" t="str">
        <f t="shared" si="16"/>
        <v/>
      </c>
      <c r="J53" s="9" t="str">
        <f t="shared" ca="1" si="17"/>
        <v/>
      </c>
      <c r="K53" s="9" t="str">
        <f t="shared" ca="1" si="18"/>
        <v/>
      </c>
      <c r="L53" s="9" t="str">
        <f t="shared" ca="1" si="19"/>
        <v/>
      </c>
      <c r="M53" s="21" t="str">
        <f t="shared" ca="1" si="20"/>
        <v/>
      </c>
    </row>
    <row r="54" spans="1:13" x14ac:dyDescent="0.35">
      <c r="A54" s="17" t="s">
        <v>350</v>
      </c>
      <c r="B54" s="9" t="str">
        <f>IFERROR(IF(COUNTIF('Company list 1'!$A$7:$A$1048576,A54)+COUNTIF('Company list 2'!$A$7:$A$1048576,A54)+COUNTIF('Company list 3'!$A$7:$A$1048576, A54)=1, "Yes", "Error"),"Error")</f>
        <v>Yes</v>
      </c>
      <c r="D54" s="10">
        <f>_xlfn.LET(_xlpm.L,IFERROR(_xlfn.XLOOKUP(A54,#REF!,#REF!),_xlfn.XLOOKUP(A54,'Company list 1'!A:A,'Company list 1'!C:C,"")),IF(_xlpm.L=0,"",_xlpm.L))</f>
        <v>46169</v>
      </c>
      <c r="E54" s="10">
        <f>_xlfn.LET(_xlpm.d,IFERROR(_xlfn.XLOOKUP(A54,#REF!,#REF!),_xlfn.XLOOKUP(A54,'Company list 1'!A:A,'Company list 1'!D:D,"")),IF(_xlpm.d=0,"",_xlpm.d))</f>
        <v>46183</v>
      </c>
      <c r="F54" s="10">
        <f t="shared" si="13"/>
        <v>46183</v>
      </c>
      <c r="G54" s="10">
        <f t="shared" si="14"/>
        <v>46197</v>
      </c>
      <c r="H54" s="10">
        <f t="shared" si="15"/>
        <v>46211</v>
      </c>
      <c r="I54" s="10">
        <f t="shared" si="16"/>
        <v>46225</v>
      </c>
      <c r="J54" s="9" t="str">
        <f t="shared" ca="1" si="17"/>
        <v>Done</v>
      </c>
      <c r="K54" s="9">
        <f t="shared" ca="1" si="18"/>
        <v>5</v>
      </c>
      <c r="L54" s="9">
        <f t="shared" ca="1" si="19"/>
        <v>19</v>
      </c>
      <c r="M54" s="21">
        <f t="shared" ca="1" si="20"/>
        <v>33</v>
      </c>
    </row>
    <row r="55" spans="1:13" x14ac:dyDescent="0.35">
      <c r="A55" s="17" t="s">
        <v>354</v>
      </c>
      <c r="B55" s="9" t="str">
        <f>IFERROR(IF(COUNTIF('Company list 1'!$A$7:$A$1048576,A55)+COUNTIF('Company list 2'!$A$7:$A$1048576,A55)+COUNTIF('Company list 3'!$A$7:$A$1048576, A55)=1, "Yes", "Error"),"Error")</f>
        <v>Yes</v>
      </c>
      <c r="D55" s="10">
        <f>_xlfn.LET(_xlpm.L,IFERROR(_xlfn.XLOOKUP(A55,#REF!,#REF!),_xlfn.XLOOKUP(A55,'Company list 1'!A:A,'Company list 1'!C:C,"")),IF(_xlpm.L=0,"",_xlpm.L))</f>
        <v>46169</v>
      </c>
      <c r="E55" s="10">
        <f>_xlfn.LET(_xlpm.d,IFERROR(_xlfn.XLOOKUP(A55,#REF!,#REF!),_xlfn.XLOOKUP(A55,'Company list 1'!A:A,'Company list 1'!D:D,"")),IF(_xlpm.d=0,"",_xlpm.d))</f>
        <v>46183</v>
      </c>
      <c r="F55" s="10">
        <f t="shared" si="13"/>
        <v>46183</v>
      </c>
      <c r="G55" s="10">
        <f t="shared" si="14"/>
        <v>46197</v>
      </c>
      <c r="H55" s="10">
        <f t="shared" si="15"/>
        <v>46211</v>
      </c>
      <c r="I55" s="10">
        <f t="shared" si="16"/>
        <v>46225</v>
      </c>
      <c r="J55" s="9" t="str">
        <f t="shared" ca="1" si="17"/>
        <v>Done</v>
      </c>
      <c r="K55" s="9">
        <f t="shared" ca="1" si="18"/>
        <v>5</v>
      </c>
      <c r="L55" s="9">
        <f t="shared" ca="1" si="19"/>
        <v>19</v>
      </c>
      <c r="M55" s="21">
        <f t="shared" ca="1" si="20"/>
        <v>33</v>
      </c>
    </row>
    <row r="56" spans="1:13" x14ac:dyDescent="0.35">
      <c r="A56" s="17" t="s">
        <v>358</v>
      </c>
      <c r="B56" s="9" t="str">
        <f>IFERROR(IF(COUNTIF('Company list 1'!$A$7:$A$1048576,A56)+COUNTIF('Company list 2'!$A$7:$A$1048576,A56)+COUNTIF('Company list 3'!$A$7:$A$1048576, A56)=1, "Yes", "Error"),"Error")</f>
        <v>Yes</v>
      </c>
      <c r="D56" s="10">
        <f>_xlfn.LET(_xlpm.L,IFERROR(_xlfn.XLOOKUP(A56,#REF!,#REF!),_xlfn.XLOOKUP(A56,'Company list 1'!A:A,'Company list 1'!C:C,"")),IF(_xlpm.L=0,"",_xlpm.L))</f>
        <v>46169</v>
      </c>
      <c r="E56" s="10">
        <f>_xlfn.LET(_xlpm.d,IFERROR(_xlfn.XLOOKUP(A56,#REF!,#REF!),_xlfn.XLOOKUP(A56,'Company list 1'!A:A,'Company list 1'!D:D,"")),IF(_xlpm.d=0,"",_xlpm.d))</f>
        <v>46183</v>
      </c>
      <c r="F56" s="10">
        <f t="shared" si="13"/>
        <v>46183</v>
      </c>
      <c r="G56" s="10">
        <f t="shared" si="14"/>
        <v>46197</v>
      </c>
      <c r="H56" s="10">
        <f t="shared" si="15"/>
        <v>46211</v>
      </c>
      <c r="I56" s="10">
        <f t="shared" si="16"/>
        <v>46225</v>
      </c>
      <c r="J56" s="9" t="str">
        <f t="shared" ca="1" si="17"/>
        <v>Done</v>
      </c>
      <c r="K56" s="9">
        <f t="shared" ca="1" si="18"/>
        <v>5</v>
      </c>
      <c r="L56" s="9">
        <f t="shared" ca="1" si="19"/>
        <v>19</v>
      </c>
      <c r="M56" s="21">
        <f t="shared" ca="1" si="20"/>
        <v>33</v>
      </c>
    </row>
    <row r="57" spans="1:13" x14ac:dyDescent="0.35">
      <c r="A57" s="17" t="s">
        <v>394</v>
      </c>
      <c r="B57" s="9" t="str">
        <f>IFERROR(IF(COUNTIF('Company list 1'!$A$7:$A$1048576,A57)+COUNTIF('Company list 2'!$A$7:$A$1048576,A57)+COUNTIF('Company list 3'!$A$7:$A$1048576, A57)=1, "Yes", "Error"),"Error")</f>
        <v>Yes</v>
      </c>
      <c r="D57" s="10">
        <f>_xlfn.LET(_xlpm.L,IFERROR(_xlfn.XLOOKUP(A57,#REF!,#REF!),_xlfn.XLOOKUP(A57,'Company list 1'!A:A,'Company list 1'!C:C,"")),IF(_xlpm.L=0,"",_xlpm.L))</f>
        <v>46170</v>
      </c>
      <c r="E57" s="10">
        <f>_xlfn.LET(_xlpm.d,IFERROR(_xlfn.XLOOKUP(A57,#REF!,#REF!),_xlfn.XLOOKUP(A57,'Company list 1'!A:A,'Company list 1'!D:D,"")),IF(_xlpm.d=0,"",_xlpm.d))</f>
        <v>46184</v>
      </c>
      <c r="F57" s="10">
        <f t="shared" ref="F57:F76" si="21">IF(ISNUMBER($E57),D57+14,"")</f>
        <v>46184</v>
      </c>
      <c r="G57" s="10">
        <f t="shared" ref="G57:G76" si="22">IF(ISNUMBER($E57),F57+14,"")</f>
        <v>46198</v>
      </c>
      <c r="H57" s="10">
        <f t="shared" ref="H57:H76" si="23">IF(ISNUMBER($E57),G57+14,"")</f>
        <v>46212</v>
      </c>
      <c r="I57" s="10">
        <f t="shared" ref="I57:I76" si="24">IF(ISNUMBER($E57),H57+14,"")</f>
        <v>46226</v>
      </c>
      <c r="J57" s="9" t="str">
        <f t="shared" ref="J57:J76" ca="1" si="25">IF(NOT(ISNUMBER($E57)),"",IF($E57&gt;=F57,"Done",F57-TODAY()))</f>
        <v>Done</v>
      </c>
      <c r="K57" s="9">
        <f t="shared" ref="K57:K76" ca="1" si="26">IF(NOT(ISNUMBER($E57)),"",IF($E57&gt;=G57,"Done",G57-TODAY()))</f>
        <v>6</v>
      </c>
      <c r="L57" s="9">
        <f t="shared" ref="L57:L76" ca="1" si="27">IF(NOT(ISNUMBER($E57)),"",IF($E57&gt;=H57,"Done",H57-TODAY()))</f>
        <v>20</v>
      </c>
      <c r="M57" s="21">
        <f t="shared" ref="M57:M76" ca="1" si="28">IF(NOT(ISNUMBER($E57)),"",IF($E57&gt;=I57,"Done",I57-TODAY()))</f>
        <v>34</v>
      </c>
    </row>
    <row r="58" spans="1:13" x14ac:dyDescent="0.35">
      <c r="A58" s="17" t="s">
        <v>397</v>
      </c>
      <c r="B58" s="9" t="str">
        <f>IFERROR(IF(COUNTIF('Company list 1'!$A$7:$A$1048576,A58)+COUNTIF('Company list 2'!$A$7:$A$1048576,A58)+COUNTIF('Company list 3'!$A$7:$A$1048576, A58)=1, "Yes", "Error"),"Error")</f>
        <v>Yes</v>
      </c>
      <c r="D58" s="10">
        <f>_xlfn.LET(_xlpm.L,IFERROR(_xlfn.XLOOKUP(A58,#REF!,#REF!),_xlfn.XLOOKUP(A58,'Company list 1'!A:A,'Company list 1'!C:C,"")),IF(_xlpm.L=0,"",_xlpm.L))</f>
        <v>46170</v>
      </c>
      <c r="E58" s="10">
        <f>_xlfn.LET(_xlpm.d,IFERROR(_xlfn.XLOOKUP(A58,#REF!,#REF!),_xlfn.XLOOKUP(A58,'Company list 1'!A:A,'Company list 1'!D:D,"")),IF(_xlpm.d=0,"",_xlpm.d))</f>
        <v>46184</v>
      </c>
      <c r="F58" s="10">
        <f t="shared" si="21"/>
        <v>46184</v>
      </c>
      <c r="G58" s="10">
        <f t="shared" si="22"/>
        <v>46198</v>
      </c>
      <c r="H58" s="10">
        <f t="shared" si="23"/>
        <v>46212</v>
      </c>
      <c r="I58" s="10">
        <f t="shared" si="24"/>
        <v>46226</v>
      </c>
      <c r="J58" s="9" t="str">
        <f t="shared" ca="1" si="25"/>
        <v>Done</v>
      </c>
      <c r="K58" s="9">
        <f t="shared" ca="1" si="26"/>
        <v>6</v>
      </c>
      <c r="L58" s="9">
        <f t="shared" ca="1" si="27"/>
        <v>20</v>
      </c>
      <c r="M58" s="21">
        <f t="shared" ca="1" si="28"/>
        <v>34</v>
      </c>
    </row>
    <row r="59" spans="1:13" x14ac:dyDescent="0.35">
      <c r="A59" s="17" t="s">
        <v>400</v>
      </c>
      <c r="B59" s="9" t="str">
        <f>IFERROR(IF(COUNTIF('Company list 1'!$A$7:$A$1048576,A59)+COUNTIF('Company list 2'!$A$7:$A$1048576,A59)+COUNTIF('Company list 3'!$A$7:$A$1048576, A59)=1, "Yes", "Error"),"Error")</f>
        <v>Yes</v>
      </c>
      <c r="D59" s="10">
        <f>_xlfn.LET(_xlpm.L,IFERROR(_xlfn.XLOOKUP(A59,#REF!,#REF!),_xlfn.XLOOKUP(A59,'Company list 1'!A:A,'Company list 1'!C:C,"")),IF(_xlpm.L=0,"",_xlpm.L))</f>
        <v>46170</v>
      </c>
      <c r="E59" s="10">
        <f>_xlfn.LET(_xlpm.d,IFERROR(_xlfn.XLOOKUP(A59,#REF!,#REF!),_xlfn.XLOOKUP(A59,'Company list 1'!A:A,'Company list 1'!D:D,"")),IF(_xlpm.d=0,"",_xlpm.d))</f>
        <v>46184</v>
      </c>
      <c r="F59" s="10">
        <f t="shared" si="21"/>
        <v>46184</v>
      </c>
      <c r="G59" s="10">
        <f t="shared" si="22"/>
        <v>46198</v>
      </c>
      <c r="H59" s="10">
        <f t="shared" si="23"/>
        <v>46212</v>
      </c>
      <c r="I59" s="10">
        <f t="shared" si="24"/>
        <v>46226</v>
      </c>
      <c r="J59" s="9" t="str">
        <f t="shared" ca="1" si="25"/>
        <v>Done</v>
      </c>
      <c r="K59" s="9">
        <f t="shared" ca="1" si="26"/>
        <v>6</v>
      </c>
      <c r="L59" s="9">
        <f t="shared" ca="1" si="27"/>
        <v>20</v>
      </c>
      <c r="M59" s="21">
        <f t="shared" ca="1" si="28"/>
        <v>34</v>
      </c>
    </row>
    <row r="60" spans="1:13" x14ac:dyDescent="0.35">
      <c r="A60" s="17" t="s">
        <v>403</v>
      </c>
      <c r="B60" s="9" t="str">
        <f>IFERROR(IF(COUNTIF('Company list 1'!$A$7:$A$1048576,A60)+COUNTIF('Company list 2'!$A$7:$A$1048576,A60)+COUNTIF('Company list 3'!$A$7:$A$1048576, A60)=1, "Yes", "Error"),"Error")</f>
        <v>Yes</v>
      </c>
      <c r="D60" s="10">
        <f>_xlfn.LET(_xlpm.L,IFERROR(_xlfn.XLOOKUP(A60,#REF!,#REF!),_xlfn.XLOOKUP(A60,'Company list 1'!A:A,'Company list 1'!C:C,"")),IF(_xlpm.L=0,"",_xlpm.L))</f>
        <v>46170</v>
      </c>
      <c r="E60" s="10" t="str">
        <f>_xlfn.LET(_xlpm.d,IFERROR(_xlfn.XLOOKUP(A60,#REF!,#REF!),_xlfn.XLOOKUP(A60,'Company list 1'!A:A,'Company list 1'!D:D,"")),IF(_xlpm.d=0,"",_xlpm.d))</f>
        <v>Got response</v>
      </c>
      <c r="F60" s="10" t="str">
        <f t="shared" si="21"/>
        <v/>
      </c>
      <c r="G60" s="10" t="str">
        <f t="shared" si="22"/>
        <v/>
      </c>
      <c r="H60" s="10" t="str">
        <f t="shared" si="23"/>
        <v/>
      </c>
      <c r="I60" s="10" t="str">
        <f t="shared" si="24"/>
        <v/>
      </c>
      <c r="J60" s="9" t="str">
        <f t="shared" ca="1" si="25"/>
        <v/>
      </c>
      <c r="K60" s="9" t="str">
        <f t="shared" ca="1" si="26"/>
        <v/>
      </c>
      <c r="L60" s="9" t="str">
        <f t="shared" ca="1" si="27"/>
        <v/>
      </c>
      <c r="M60" s="21" t="str">
        <f t="shared" ca="1" si="28"/>
        <v/>
      </c>
    </row>
    <row r="61" spans="1:13" x14ac:dyDescent="0.35">
      <c r="A61" s="17" t="s">
        <v>406</v>
      </c>
      <c r="B61" s="9" t="str">
        <f>IFERROR(IF(COUNTIF('Company list 1'!$A$7:$A$1048576,A61)+COUNTIF('Company list 2'!$A$7:$A$1048576,A61)+COUNTIF('Company list 3'!$A$7:$A$1048576, A61)=1, "Yes", "Error"),"Error")</f>
        <v>Yes</v>
      </c>
      <c r="D61" s="10">
        <f>_xlfn.LET(_xlpm.L,IFERROR(_xlfn.XLOOKUP(A61,#REF!,#REF!),_xlfn.XLOOKUP(A61,'Company list 1'!A:A,'Company list 1'!C:C,"")),IF(_xlpm.L=0,"",_xlpm.L))</f>
        <v>46170</v>
      </c>
      <c r="E61" s="10">
        <f>_xlfn.LET(_xlpm.d,IFERROR(_xlfn.XLOOKUP(A61,#REF!,#REF!),_xlfn.XLOOKUP(A61,'Company list 1'!A:A,'Company list 1'!D:D,"")),IF(_xlpm.d=0,"",_xlpm.d))</f>
        <v>46184</v>
      </c>
      <c r="F61" s="10">
        <f t="shared" si="21"/>
        <v>46184</v>
      </c>
      <c r="G61" s="10">
        <f t="shared" si="22"/>
        <v>46198</v>
      </c>
      <c r="H61" s="10">
        <f t="shared" si="23"/>
        <v>46212</v>
      </c>
      <c r="I61" s="10">
        <f t="shared" si="24"/>
        <v>46226</v>
      </c>
      <c r="J61" s="9" t="str">
        <f t="shared" ca="1" si="25"/>
        <v>Done</v>
      </c>
      <c r="K61" s="9">
        <f t="shared" ca="1" si="26"/>
        <v>6</v>
      </c>
      <c r="L61" s="9">
        <f t="shared" ca="1" si="27"/>
        <v>20</v>
      </c>
      <c r="M61" s="21">
        <f t="shared" ca="1" si="28"/>
        <v>34</v>
      </c>
    </row>
    <row r="62" spans="1:13" x14ac:dyDescent="0.35">
      <c r="A62" s="17" t="s">
        <v>408</v>
      </c>
      <c r="B62" s="9" t="str">
        <f>IFERROR(IF(COUNTIF('Company list 1'!$A$7:$A$1048576,A62)+COUNTIF('Company list 2'!$A$7:$A$1048576,A62)+COUNTIF('Company list 3'!$A$7:$A$1048576, A62)=1, "Yes", "Error"),"Error")</f>
        <v>Yes</v>
      </c>
      <c r="D62" s="10">
        <f>_xlfn.LET(_xlpm.L,IFERROR(_xlfn.XLOOKUP(A62,#REF!,#REF!),_xlfn.XLOOKUP(A62,'Company list 1'!A:A,'Company list 1'!C:C,"")),IF(_xlpm.L=0,"",_xlpm.L))</f>
        <v>46170</v>
      </c>
      <c r="E62" s="10">
        <f>_xlfn.LET(_xlpm.d,IFERROR(_xlfn.XLOOKUP(A62,#REF!,#REF!),_xlfn.XLOOKUP(A62,'Company list 1'!A:A,'Company list 1'!D:D,"")),IF(_xlpm.d=0,"",_xlpm.d))</f>
        <v>46184</v>
      </c>
      <c r="F62" s="10">
        <f t="shared" si="21"/>
        <v>46184</v>
      </c>
      <c r="G62" s="10">
        <f t="shared" si="22"/>
        <v>46198</v>
      </c>
      <c r="H62" s="10">
        <f t="shared" si="23"/>
        <v>46212</v>
      </c>
      <c r="I62" s="10">
        <f t="shared" si="24"/>
        <v>46226</v>
      </c>
      <c r="J62" s="9" t="str">
        <f t="shared" ca="1" si="25"/>
        <v>Done</v>
      </c>
      <c r="K62" s="9">
        <f t="shared" ca="1" si="26"/>
        <v>6</v>
      </c>
      <c r="L62" s="9">
        <f t="shared" ca="1" si="27"/>
        <v>20</v>
      </c>
      <c r="M62" s="21">
        <f t="shared" ca="1" si="28"/>
        <v>34</v>
      </c>
    </row>
    <row r="63" spans="1:13" x14ac:dyDescent="0.35">
      <c r="A63" s="17" t="s">
        <v>436</v>
      </c>
      <c r="B63" s="9" t="str">
        <f>IFERROR(IF(COUNTIF('Company list 1'!$A$7:$A$1048576,A63)+COUNTIF('Company list 2'!$A$7:$A$1048576,A63)+COUNTIF('Company list 3'!$A$7:$A$1048576, A63)=1, "Yes", "Error"),"Error")</f>
        <v>Yes</v>
      </c>
      <c r="D63" s="10">
        <f>_xlfn.LET(_xlpm.L,IFERROR(_xlfn.XLOOKUP(A63,#REF!,#REF!),_xlfn.XLOOKUP(A63,'Company list 1'!A:A,'Company list 1'!C:C,"")),IF(_xlpm.L=0,"",_xlpm.L))</f>
        <v>46174</v>
      </c>
      <c r="E63" s="10">
        <f>_xlfn.LET(_xlpm.d,IFERROR(_xlfn.XLOOKUP(A63,#REF!,#REF!),_xlfn.XLOOKUP(A63,'Company list 1'!A:A,'Company list 1'!D:D,"")),IF(_xlpm.d=0,"",_xlpm.d))</f>
        <v>46188</v>
      </c>
      <c r="F63" s="10">
        <f t="shared" si="21"/>
        <v>46188</v>
      </c>
      <c r="G63" s="10">
        <f t="shared" si="22"/>
        <v>46202</v>
      </c>
      <c r="H63" s="10">
        <f t="shared" si="23"/>
        <v>46216</v>
      </c>
      <c r="I63" s="10">
        <f t="shared" si="24"/>
        <v>46230</v>
      </c>
      <c r="J63" s="9" t="str">
        <f t="shared" ca="1" si="25"/>
        <v>Done</v>
      </c>
      <c r="K63" s="9">
        <f t="shared" ca="1" si="26"/>
        <v>10</v>
      </c>
      <c r="L63" s="9">
        <f t="shared" ca="1" si="27"/>
        <v>24</v>
      </c>
      <c r="M63" s="21">
        <f t="shared" ca="1" si="28"/>
        <v>38</v>
      </c>
    </row>
    <row r="64" spans="1:13" x14ac:dyDescent="0.35">
      <c r="A64" s="17" t="s">
        <v>437</v>
      </c>
      <c r="B64" s="9" t="str">
        <f>IFERROR(IF(COUNTIF('Company list 1'!$A$7:$A$1048576,A64)+COUNTIF('Company list 2'!$A$7:$A$1048576,A64)+COUNTIF('Company list 3'!$A$7:$A$1048576, A64)=1, "Yes", "Error"),"Error")</f>
        <v>Yes</v>
      </c>
      <c r="D64" s="10">
        <f>_xlfn.LET(_xlpm.L,IFERROR(_xlfn.XLOOKUP(A64,#REF!,#REF!),_xlfn.XLOOKUP(A64,'Company list 1'!A:A,'Company list 1'!C:C,"")),IF(_xlpm.L=0,"",_xlpm.L))</f>
        <v>46174</v>
      </c>
      <c r="E64" s="10" t="str">
        <f>_xlfn.LET(_xlpm.d,IFERROR(_xlfn.XLOOKUP(A64,#REF!,#REF!),_xlfn.XLOOKUP(A64,'Company list 1'!A:A,'Company list 1'!D:D,"")),IF(_xlpm.d=0,"",_xlpm.d))</f>
        <v>Got response</v>
      </c>
      <c r="F64" s="10" t="str">
        <f t="shared" si="21"/>
        <v/>
      </c>
      <c r="G64" s="10" t="str">
        <f t="shared" si="22"/>
        <v/>
      </c>
      <c r="H64" s="10" t="str">
        <f t="shared" si="23"/>
        <v/>
      </c>
      <c r="I64" s="10" t="str">
        <f t="shared" si="24"/>
        <v/>
      </c>
      <c r="J64" s="9" t="str">
        <f t="shared" ca="1" si="25"/>
        <v/>
      </c>
      <c r="K64" s="9" t="str">
        <f t="shared" ca="1" si="26"/>
        <v/>
      </c>
      <c r="L64" s="9" t="str">
        <f t="shared" ca="1" si="27"/>
        <v/>
      </c>
      <c r="M64" s="21" t="str">
        <f t="shared" ca="1" si="28"/>
        <v/>
      </c>
    </row>
    <row r="65" spans="1:13" x14ac:dyDescent="0.35">
      <c r="A65" s="17" t="s">
        <v>439</v>
      </c>
      <c r="B65" s="9" t="str">
        <f>IFERROR(IF(COUNTIF('Company list 1'!$A$7:$A$1048576,A65)+COUNTIF('Company list 2'!$A$7:$A$1048576,A65)+COUNTIF('Company list 3'!$A$7:$A$1048576, A65)=1, "Yes", "Error"),"Error")</f>
        <v>Yes</v>
      </c>
      <c r="D65" s="10">
        <f>_xlfn.LET(_xlpm.L,IFERROR(_xlfn.XLOOKUP(A65,#REF!,#REF!),_xlfn.XLOOKUP(A65,'Company list 1'!A:A,'Company list 1'!C:C,"")),IF(_xlpm.L=0,"",_xlpm.L))</f>
        <v>46174</v>
      </c>
      <c r="E65" s="10">
        <f>_xlfn.LET(_xlpm.d,IFERROR(_xlfn.XLOOKUP(A65,#REF!,#REF!),_xlfn.XLOOKUP(A65,'Company list 1'!A:A,'Company list 1'!D:D,"")),IF(_xlpm.d=0,"",_xlpm.d))</f>
        <v>46188</v>
      </c>
      <c r="F65" s="10">
        <f t="shared" si="21"/>
        <v>46188</v>
      </c>
      <c r="G65" s="10">
        <f t="shared" si="22"/>
        <v>46202</v>
      </c>
      <c r="H65" s="10">
        <f t="shared" si="23"/>
        <v>46216</v>
      </c>
      <c r="I65" s="10">
        <f t="shared" si="24"/>
        <v>46230</v>
      </c>
      <c r="J65" s="9" t="str">
        <f t="shared" ca="1" si="25"/>
        <v>Done</v>
      </c>
      <c r="K65" s="9">
        <f t="shared" ca="1" si="26"/>
        <v>10</v>
      </c>
      <c r="L65" s="9">
        <f t="shared" ca="1" si="27"/>
        <v>24</v>
      </c>
      <c r="M65" s="21">
        <f t="shared" ca="1" si="28"/>
        <v>38</v>
      </c>
    </row>
    <row r="66" spans="1:13" x14ac:dyDescent="0.35">
      <c r="A66" s="17" t="s">
        <v>444</v>
      </c>
      <c r="B66" s="9" t="str">
        <f>IFERROR(IF(COUNTIF('Company list 1'!$A$7:$A$1048576,A66)+COUNTIF('Company list 2'!$A$7:$A$1048576,A66)+COUNTIF('Company list 3'!$A$7:$A$1048576, A66)=1, "Yes", "Error"),"Error")</f>
        <v>Yes</v>
      </c>
      <c r="D66" s="10">
        <f>_xlfn.LET(_xlpm.L,IFERROR(_xlfn.XLOOKUP(A66,#REF!,#REF!),_xlfn.XLOOKUP(A66,'Company list 1'!A:A,'Company list 1'!C:C,"")),IF(_xlpm.L=0,"",_xlpm.L))</f>
        <v>46174</v>
      </c>
      <c r="E66" s="10">
        <f>_xlfn.LET(_xlpm.d,IFERROR(_xlfn.XLOOKUP(A66,#REF!,#REF!),_xlfn.XLOOKUP(A66,'Company list 1'!A:A,'Company list 1'!D:D,"")),IF(_xlpm.d=0,"",_xlpm.d))</f>
        <v>46188</v>
      </c>
      <c r="F66" s="10">
        <f t="shared" si="21"/>
        <v>46188</v>
      </c>
      <c r="G66" s="10">
        <f t="shared" si="22"/>
        <v>46202</v>
      </c>
      <c r="H66" s="10">
        <f t="shared" si="23"/>
        <v>46216</v>
      </c>
      <c r="I66" s="10">
        <f t="shared" si="24"/>
        <v>46230</v>
      </c>
      <c r="J66" s="9" t="str">
        <f t="shared" ca="1" si="25"/>
        <v>Done</v>
      </c>
      <c r="K66" s="9">
        <f t="shared" ca="1" si="26"/>
        <v>10</v>
      </c>
      <c r="L66" s="9">
        <f t="shared" ca="1" si="27"/>
        <v>24</v>
      </c>
      <c r="M66" s="21">
        <f t="shared" ca="1" si="28"/>
        <v>38</v>
      </c>
    </row>
    <row r="67" spans="1:13" x14ac:dyDescent="0.35">
      <c r="A67" s="17" t="s">
        <v>447</v>
      </c>
      <c r="B67" s="9" t="str">
        <f>IFERROR(IF(COUNTIF('Company list 1'!$A$7:$A$1048576,A67)+COUNTIF('Company list 2'!$A$7:$A$1048576,A67)+COUNTIF('Company list 3'!$A$7:$A$1048576, A67)=1, "Yes", "Error"),"Error")</f>
        <v>Yes</v>
      </c>
      <c r="D67" s="10">
        <f>_xlfn.LET(_xlpm.L,IFERROR(_xlfn.XLOOKUP(A67,#REF!,#REF!),_xlfn.XLOOKUP(A67,'Company list 1'!A:A,'Company list 1'!C:C,"")),IF(_xlpm.L=0,"",_xlpm.L))</f>
        <v>46174</v>
      </c>
      <c r="E67" s="10">
        <f>_xlfn.LET(_xlpm.d,IFERROR(_xlfn.XLOOKUP(A67,#REF!,#REF!),_xlfn.XLOOKUP(A67,'Company list 1'!A:A,'Company list 1'!D:D,"")),IF(_xlpm.d=0,"",_xlpm.d))</f>
        <v>46188</v>
      </c>
      <c r="F67" s="10">
        <f t="shared" si="21"/>
        <v>46188</v>
      </c>
      <c r="G67" s="10">
        <f t="shared" si="22"/>
        <v>46202</v>
      </c>
      <c r="H67" s="10">
        <f t="shared" si="23"/>
        <v>46216</v>
      </c>
      <c r="I67" s="10">
        <f t="shared" si="24"/>
        <v>46230</v>
      </c>
      <c r="J67" s="9" t="str">
        <f t="shared" ca="1" si="25"/>
        <v>Done</v>
      </c>
      <c r="K67" s="9">
        <f t="shared" ca="1" si="26"/>
        <v>10</v>
      </c>
      <c r="L67" s="9">
        <f t="shared" ca="1" si="27"/>
        <v>24</v>
      </c>
      <c r="M67" s="21">
        <f t="shared" ca="1" si="28"/>
        <v>38</v>
      </c>
    </row>
    <row r="68" spans="1:13" x14ac:dyDescent="0.35">
      <c r="A68" s="17" t="s">
        <v>450</v>
      </c>
      <c r="B68" s="9" t="str">
        <f>IFERROR(IF(COUNTIF('Company list 1'!$A$7:$A$1048576,A68)+COUNTIF('Company list 2'!$A$7:$A$1048576,A68)+COUNTIF('Company list 3'!$A$7:$A$1048576, A68)=1, "Yes", "Error"),"Error")</f>
        <v>Yes</v>
      </c>
      <c r="D68" s="10">
        <f>_xlfn.LET(_xlpm.L,IFERROR(_xlfn.XLOOKUP(A68,#REF!,#REF!),_xlfn.XLOOKUP(A68,'Company list 1'!A:A,'Company list 1'!C:C,"")),IF(_xlpm.L=0,"",_xlpm.L))</f>
        <v>46174</v>
      </c>
      <c r="E68" s="10" t="str">
        <f>_xlfn.LET(_xlpm.d,IFERROR(_xlfn.XLOOKUP(A68,#REF!,#REF!),_xlfn.XLOOKUP(A68,'Company list 1'!A:A,'Company list 1'!D:D,"")),IF(_xlpm.d=0,"",_xlpm.d))</f>
        <v>Got response</v>
      </c>
      <c r="F68" s="10" t="str">
        <f t="shared" si="21"/>
        <v/>
      </c>
      <c r="G68" s="10" t="str">
        <f t="shared" si="22"/>
        <v/>
      </c>
      <c r="H68" s="10" t="str">
        <f t="shared" si="23"/>
        <v/>
      </c>
      <c r="I68" s="10" t="str">
        <f t="shared" si="24"/>
        <v/>
      </c>
      <c r="J68" s="9" t="str">
        <f t="shared" ca="1" si="25"/>
        <v/>
      </c>
      <c r="K68" s="9" t="str">
        <f t="shared" ca="1" si="26"/>
        <v/>
      </c>
      <c r="L68" s="9" t="str">
        <f t="shared" ca="1" si="27"/>
        <v/>
      </c>
      <c r="M68" s="21" t="str">
        <f t="shared" ca="1" si="28"/>
        <v/>
      </c>
    </row>
    <row r="69" spans="1:13" x14ac:dyDescent="0.35">
      <c r="A69" s="17" t="s">
        <v>458</v>
      </c>
      <c r="B69" s="9" t="str">
        <f>IFERROR(IF(COUNTIF('Company list 1'!$A$7:$A$1048576,A69)+COUNTIF('Company list 2'!$A$7:$A$1048576,A69)+COUNTIF('Company list 3'!$A$7:$A$1048576, A69)=1, "Yes", "Error"),"Error")</f>
        <v>Yes</v>
      </c>
      <c r="D69" s="10">
        <f>_xlfn.LET(_xlpm.L,IFERROR(_xlfn.XLOOKUP(A69,#REF!,#REF!),_xlfn.XLOOKUP(A69,'Company list 1'!A:A,'Company list 1'!C:C,"")),IF(_xlpm.L=0,"",_xlpm.L))</f>
        <v>46174</v>
      </c>
      <c r="E69" s="10">
        <f>_xlfn.LET(_xlpm.d,IFERROR(_xlfn.XLOOKUP(A69,#REF!,#REF!),_xlfn.XLOOKUP(A69,'Company list 1'!A:A,'Company list 1'!D:D,"")),IF(_xlpm.d=0,"",_xlpm.d))</f>
        <v>46188</v>
      </c>
      <c r="F69" s="10">
        <f t="shared" si="21"/>
        <v>46188</v>
      </c>
      <c r="G69" s="10">
        <f t="shared" si="22"/>
        <v>46202</v>
      </c>
      <c r="H69" s="10">
        <f t="shared" si="23"/>
        <v>46216</v>
      </c>
      <c r="I69" s="10">
        <f t="shared" si="24"/>
        <v>46230</v>
      </c>
      <c r="J69" s="9" t="str">
        <f t="shared" ca="1" si="25"/>
        <v>Done</v>
      </c>
      <c r="K69" s="9">
        <f t="shared" ca="1" si="26"/>
        <v>10</v>
      </c>
      <c r="L69" s="9">
        <f t="shared" ca="1" si="27"/>
        <v>24</v>
      </c>
      <c r="M69" s="21">
        <f t="shared" ca="1" si="28"/>
        <v>38</v>
      </c>
    </row>
    <row r="70" spans="1:13" x14ac:dyDescent="0.35">
      <c r="A70" s="17" t="s">
        <v>461</v>
      </c>
      <c r="B70" s="9" t="str">
        <f>IFERROR(IF(COUNTIF('Company list 1'!$A$7:$A$1048576,A70)+COUNTIF('Company list 2'!$A$7:$A$1048576,A70)+COUNTIF('Company list 3'!$A$7:$A$1048576, A70)=1, "Yes", "Error"),"Error")</f>
        <v>Yes</v>
      </c>
      <c r="D70" s="10">
        <f>_xlfn.LET(_xlpm.L,IFERROR(_xlfn.XLOOKUP(A70,#REF!,#REF!),_xlfn.XLOOKUP(A70,'Company list 1'!A:A,'Company list 1'!C:C,"")),IF(_xlpm.L=0,"",_xlpm.L))</f>
        <v>46174</v>
      </c>
      <c r="E70" s="10" t="str">
        <f>_xlfn.LET(_xlpm.d,IFERROR(_xlfn.XLOOKUP(A70,#REF!,#REF!),_xlfn.XLOOKUP(A70,'Company list 1'!A:A,'Company list 1'!D:D,"")),IF(_xlpm.d=0,"",_xlpm.d))</f>
        <v>Got response</v>
      </c>
      <c r="F70" s="10" t="str">
        <f t="shared" si="21"/>
        <v/>
      </c>
      <c r="G70" s="10" t="str">
        <f t="shared" si="22"/>
        <v/>
      </c>
      <c r="H70" s="10" t="str">
        <f t="shared" si="23"/>
        <v/>
      </c>
      <c r="I70" s="10" t="str">
        <f t="shared" si="24"/>
        <v/>
      </c>
      <c r="J70" s="9" t="str">
        <f t="shared" ca="1" si="25"/>
        <v/>
      </c>
      <c r="K70" s="9" t="str">
        <f t="shared" ca="1" si="26"/>
        <v/>
      </c>
      <c r="L70" s="9" t="str">
        <f t="shared" ca="1" si="27"/>
        <v/>
      </c>
      <c r="M70" s="21" t="str">
        <f t="shared" ca="1" si="28"/>
        <v/>
      </c>
    </row>
    <row r="71" spans="1:13" x14ac:dyDescent="0.35">
      <c r="A71" s="17" t="s">
        <v>463</v>
      </c>
      <c r="B71" s="9" t="str">
        <f>IFERROR(IF(COUNTIF('Company list 1'!$A$7:$A$1048576,A71)+COUNTIF('Company list 2'!$A$7:$A$1048576,A71)+COUNTIF('Company list 3'!$A$7:$A$1048576, A71)=1, "Yes", "Error"),"Error")</f>
        <v>Yes</v>
      </c>
      <c r="D71" s="10">
        <f>_xlfn.LET(_xlpm.L,IFERROR(_xlfn.XLOOKUP(A71,#REF!,#REF!),_xlfn.XLOOKUP(A71,'Company list 1'!A:A,'Company list 1'!C:C,"")),IF(_xlpm.L=0,"",_xlpm.L))</f>
        <v>46174</v>
      </c>
      <c r="E71" s="10">
        <f>_xlfn.LET(_xlpm.d,IFERROR(_xlfn.XLOOKUP(A71,#REF!,#REF!),_xlfn.XLOOKUP(A71,'Company list 1'!A:A,'Company list 1'!D:D,"")),IF(_xlpm.d=0,"",_xlpm.d))</f>
        <v>46188</v>
      </c>
      <c r="F71" s="10">
        <f t="shared" si="21"/>
        <v>46188</v>
      </c>
      <c r="G71" s="10">
        <f t="shared" si="22"/>
        <v>46202</v>
      </c>
      <c r="H71" s="10">
        <f t="shared" si="23"/>
        <v>46216</v>
      </c>
      <c r="I71" s="10">
        <f t="shared" si="24"/>
        <v>46230</v>
      </c>
      <c r="J71" s="9" t="str">
        <f t="shared" ca="1" si="25"/>
        <v>Done</v>
      </c>
      <c r="K71" s="9">
        <f t="shared" ca="1" si="26"/>
        <v>10</v>
      </c>
      <c r="L71" s="9">
        <f t="shared" ca="1" si="27"/>
        <v>24</v>
      </c>
      <c r="M71" s="21">
        <f t="shared" ca="1" si="28"/>
        <v>38</v>
      </c>
    </row>
    <row r="72" spans="1:13" x14ac:dyDescent="0.35">
      <c r="A72" s="17" t="s">
        <v>467</v>
      </c>
      <c r="B72" s="9" t="str">
        <f>IFERROR(IF(COUNTIF('Company list 1'!$A$7:$A$1048576,A72)+COUNTIF('Company list 2'!$A$7:$A$1048576,A72)+COUNTIF('Company list 3'!$A$7:$A$1048576, A72)=1, "Yes", "Error"),"Error")</f>
        <v>Yes</v>
      </c>
      <c r="D72" s="10" t="str">
        <f>_xlfn.LET(_xlpm.L,IFERROR(_xlfn.XLOOKUP(A72,#REF!,#REF!),_xlfn.XLOOKUP(A72,'Company list 1'!A:A,'Company list 1'!C:C,"")),IF(_xlpm.L=0,"",_xlpm.L))</f>
        <v>Contact not found</v>
      </c>
      <c r="E72" s="10" t="str">
        <f>_xlfn.LET(_xlpm.d,IFERROR(_xlfn.XLOOKUP(A72,#REF!,#REF!),_xlfn.XLOOKUP(A72,'Company list 1'!A:A,'Company list 1'!D:D,"")),IF(_xlpm.d=0,"",_xlpm.d))</f>
        <v>Contact not found</v>
      </c>
      <c r="F72" s="10" t="str">
        <f t="shared" si="21"/>
        <v/>
      </c>
      <c r="G72" s="10" t="str">
        <f t="shared" si="22"/>
        <v/>
      </c>
      <c r="H72" s="10" t="str">
        <f t="shared" si="23"/>
        <v/>
      </c>
      <c r="I72" s="10" t="str">
        <f t="shared" si="24"/>
        <v/>
      </c>
      <c r="J72" s="9" t="str">
        <f t="shared" ca="1" si="25"/>
        <v/>
      </c>
      <c r="K72" s="9" t="str">
        <f t="shared" ca="1" si="26"/>
        <v/>
      </c>
      <c r="L72" s="9" t="str">
        <f t="shared" ca="1" si="27"/>
        <v/>
      </c>
      <c r="M72" s="21" t="str">
        <f t="shared" ca="1" si="28"/>
        <v/>
      </c>
    </row>
    <row r="73" spans="1:13" x14ac:dyDescent="0.35">
      <c r="A73" s="17" t="s">
        <v>469</v>
      </c>
      <c r="B73" s="9" t="str">
        <f>IFERROR(IF(COUNTIF('Company list 1'!$A$7:$A$1048576,A73)+COUNTIF('Company list 2'!$A$7:$A$1048576,A73)+COUNTIF('Company list 3'!$A$7:$A$1048576, A73)=1, "Yes", "Error"),"Error")</f>
        <v>Yes</v>
      </c>
      <c r="D73" s="10">
        <f>_xlfn.LET(_xlpm.L,IFERROR(_xlfn.XLOOKUP(A73,#REF!,#REF!),_xlfn.XLOOKUP(A73,'Company list 1'!A:A,'Company list 1'!C:C,"")),IF(_xlpm.L=0,"",_xlpm.L))</f>
        <v>46174</v>
      </c>
      <c r="E73" s="10">
        <f>_xlfn.LET(_xlpm.d,IFERROR(_xlfn.XLOOKUP(A73,#REF!,#REF!),_xlfn.XLOOKUP(A73,'Company list 1'!A:A,'Company list 1'!D:D,"")),IF(_xlpm.d=0,"",_xlpm.d))</f>
        <v>46188</v>
      </c>
      <c r="F73" s="10">
        <f t="shared" si="21"/>
        <v>46188</v>
      </c>
      <c r="G73" s="10">
        <f t="shared" si="22"/>
        <v>46202</v>
      </c>
      <c r="H73" s="10">
        <f t="shared" si="23"/>
        <v>46216</v>
      </c>
      <c r="I73" s="10">
        <f t="shared" si="24"/>
        <v>46230</v>
      </c>
      <c r="J73" s="9" t="str">
        <f t="shared" ca="1" si="25"/>
        <v>Done</v>
      </c>
      <c r="K73" s="9">
        <f t="shared" ca="1" si="26"/>
        <v>10</v>
      </c>
      <c r="L73" s="9">
        <f t="shared" ca="1" si="27"/>
        <v>24</v>
      </c>
      <c r="M73" s="21">
        <f t="shared" ca="1" si="28"/>
        <v>38</v>
      </c>
    </row>
    <row r="74" spans="1:13" x14ac:dyDescent="0.35">
      <c r="A74" s="17" t="s">
        <v>473</v>
      </c>
      <c r="B74" s="9" t="str">
        <f>IFERROR(IF(COUNTIF('Company list 1'!$A$7:$A$1048576,A74)+COUNTIF('Company list 2'!$A$7:$A$1048576,A74)+COUNTIF('Company list 3'!$A$7:$A$1048576, A74)=1, "Yes", "Error"),"Error")</f>
        <v>Yes</v>
      </c>
      <c r="D74" s="10">
        <f>_xlfn.LET(_xlpm.L,IFERROR(_xlfn.XLOOKUP(A74,#REF!,#REF!),_xlfn.XLOOKUP(A74,'Company list 1'!A:A,'Company list 1'!C:C,"")),IF(_xlpm.L=0,"",_xlpm.L))</f>
        <v>46174</v>
      </c>
      <c r="E74" s="10">
        <f>_xlfn.LET(_xlpm.d,IFERROR(_xlfn.XLOOKUP(A74,#REF!,#REF!),_xlfn.XLOOKUP(A74,'Company list 1'!A:A,'Company list 1'!D:D,"")),IF(_xlpm.d=0,"",_xlpm.d))</f>
        <v>46188</v>
      </c>
      <c r="F74" s="10">
        <f t="shared" si="21"/>
        <v>46188</v>
      </c>
      <c r="G74" s="10">
        <f t="shared" si="22"/>
        <v>46202</v>
      </c>
      <c r="H74" s="10">
        <f t="shared" si="23"/>
        <v>46216</v>
      </c>
      <c r="I74" s="10">
        <f t="shared" si="24"/>
        <v>46230</v>
      </c>
      <c r="J74" s="9" t="str">
        <f t="shared" ca="1" si="25"/>
        <v>Done</v>
      </c>
      <c r="K74" s="9">
        <f t="shared" ca="1" si="26"/>
        <v>10</v>
      </c>
      <c r="L74" s="9">
        <f t="shared" ca="1" si="27"/>
        <v>24</v>
      </c>
      <c r="M74" s="21">
        <f t="shared" ca="1" si="28"/>
        <v>38</v>
      </c>
    </row>
    <row r="75" spans="1:13" x14ac:dyDescent="0.35">
      <c r="A75" s="17" t="s">
        <v>476</v>
      </c>
      <c r="B75" s="9" t="str">
        <f>IFERROR(IF(COUNTIF('Company list 1'!$A$7:$A$1048576,A75)+COUNTIF('Company list 2'!$A$7:$A$1048576,A75)+COUNTIF('Company list 3'!$A$7:$A$1048576, A75)=1, "Yes", "Error"),"Error")</f>
        <v>Yes</v>
      </c>
      <c r="D75" s="10">
        <f>_xlfn.LET(_xlpm.L,IFERROR(_xlfn.XLOOKUP(A75,#REF!,#REF!),_xlfn.XLOOKUP(A75,'Company list 1'!A:A,'Company list 1'!C:C,"")),IF(_xlpm.L=0,"",_xlpm.L))</f>
        <v>46174</v>
      </c>
      <c r="E75" s="10">
        <f>_xlfn.LET(_xlpm.d,IFERROR(_xlfn.XLOOKUP(A75,#REF!,#REF!),_xlfn.XLOOKUP(A75,'Company list 1'!A:A,'Company list 1'!D:D,"")),IF(_xlpm.d=0,"",_xlpm.d))</f>
        <v>46188</v>
      </c>
      <c r="F75" s="10">
        <f t="shared" si="21"/>
        <v>46188</v>
      </c>
      <c r="G75" s="10">
        <f t="shared" si="22"/>
        <v>46202</v>
      </c>
      <c r="H75" s="10">
        <f t="shared" si="23"/>
        <v>46216</v>
      </c>
      <c r="I75" s="10">
        <f t="shared" si="24"/>
        <v>46230</v>
      </c>
      <c r="J75" s="9" t="str">
        <f t="shared" ca="1" si="25"/>
        <v>Done</v>
      </c>
      <c r="K75" s="9">
        <f t="shared" ca="1" si="26"/>
        <v>10</v>
      </c>
      <c r="L75" s="9">
        <f t="shared" ca="1" si="27"/>
        <v>24</v>
      </c>
      <c r="M75" s="21">
        <f t="shared" ca="1" si="28"/>
        <v>38</v>
      </c>
    </row>
    <row r="76" spans="1:13" x14ac:dyDescent="0.35">
      <c r="A76" s="17" t="s">
        <v>479</v>
      </c>
      <c r="B76" s="9" t="str">
        <f>IFERROR(IF(COUNTIF('Company list 1'!$A$7:$A$1048576,A76)+COUNTIF('Company list 2'!$A$7:$A$1048576,A76)+COUNTIF('Company list 3'!$A$7:$A$1048576, A76)=1, "Yes", "Error"),"Error")</f>
        <v>Yes</v>
      </c>
      <c r="D76" s="10">
        <f>_xlfn.LET(_xlpm.L,IFERROR(_xlfn.XLOOKUP(A76,#REF!,#REF!),_xlfn.XLOOKUP(A76,'Company list 1'!A:A,'Company list 1'!C:C,"")),IF(_xlpm.L=0,"",_xlpm.L))</f>
        <v>46174</v>
      </c>
      <c r="E76" s="10" t="str">
        <f>_xlfn.LET(_xlpm.d,IFERROR(_xlfn.XLOOKUP(A76,#REF!,#REF!),_xlfn.XLOOKUP(A76,'Company list 1'!A:A,'Company list 1'!D:D,"")),IF(_xlpm.d=0,"",_xlpm.d))</f>
        <v>Bounced</v>
      </c>
      <c r="F76" s="10" t="str">
        <f t="shared" si="21"/>
        <v/>
      </c>
      <c r="G76" s="10" t="str">
        <f t="shared" si="22"/>
        <v/>
      </c>
      <c r="H76" s="10" t="str">
        <f t="shared" si="23"/>
        <v/>
      </c>
      <c r="I76" s="10" t="str">
        <f t="shared" si="24"/>
        <v/>
      </c>
      <c r="J76" s="9" t="str">
        <f t="shared" ca="1" si="25"/>
        <v/>
      </c>
      <c r="K76" s="9" t="str">
        <f t="shared" ca="1" si="26"/>
        <v/>
      </c>
      <c r="L76" s="9" t="str">
        <f t="shared" ca="1" si="27"/>
        <v/>
      </c>
      <c r="M76" s="21" t="str">
        <f t="shared" ca="1" si="28"/>
        <v/>
      </c>
    </row>
  </sheetData>
  <autoFilter ref="A6:M76" xr:uid="{2E0E49DE-A5CB-45C4-9EB8-3B13712D42B3}"/>
  <conditionalFormatting sqref="A1 A4:A1048576">
    <cfRule type="duplicateValues" dxfId="11" priority="13"/>
  </conditionalFormatting>
  <conditionalFormatting sqref="B5">
    <cfRule type="expression" dxfId="10" priority="5">
      <formula>$B$5="Error"</formula>
    </cfRule>
    <cfRule type="expression" dxfId="9" priority="6">
      <formula>$B$5="Go"</formula>
    </cfRule>
  </conditionalFormatting>
  <conditionalFormatting sqref="C5">
    <cfRule type="expression" dxfId="8" priority="3">
      <formula>$C$5="Error"</formula>
    </cfRule>
    <cfRule type="expression" dxfId="7" priority="4">
      <formula>$C$5="Go"</formula>
    </cfRule>
  </conditionalFormatting>
  <conditionalFormatting sqref="D7:M76">
    <cfRule type="expression" dxfId="6" priority="8">
      <formula>D7&lt;&gt;""</formula>
    </cfRule>
    <cfRule type="expression" dxfId="5" priority="9">
      <formula>D7=""</formula>
    </cfRule>
  </conditionalFormatting>
  <conditionalFormatting sqref="E5">
    <cfRule type="expression" dxfId="4" priority="1">
      <formula>$E$5="Error"</formula>
    </cfRule>
    <cfRule type="expression" dxfId="3" priority="2">
      <formula>$E$5="Go"</formula>
    </cfRule>
  </conditionalFormatting>
  <conditionalFormatting sqref="J7:M76">
    <cfRule type="expression" dxfId="2" priority="10">
      <formula>AND(ISNUMBER(J7),J7&lt;0)</formula>
    </cfRule>
    <cfRule type="expression" dxfId="1" priority="11">
      <formula>AND(ISNUMBER(J7),J7&gt;=0,J7&lt;=5)</formula>
    </cfRule>
    <cfRule type="expression" dxfId="0" priority="12">
      <formula>J7="Done"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list 1</vt:lpstr>
      <vt:lpstr>Company list 2</vt:lpstr>
      <vt:lpstr>Company list 3</vt:lpstr>
      <vt:lpstr>Emailing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Vighnesh Ramayanam</dc:creator>
  <cp:lastModifiedBy>Vighnesh Ramayanam</cp:lastModifiedBy>
  <dcterms:created xsi:type="dcterms:W3CDTF">2026-01-08T12:37:02Z</dcterms:created>
  <dcterms:modified xsi:type="dcterms:W3CDTF">2026-06-19T14:49:19Z</dcterms:modified>
</cp:coreProperties>
</file>